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NT course\Projects\Chinook Music Store Project\"/>
    </mc:Choice>
  </mc:AlternateContent>
  <xr:revisionPtr revIDLastSave="0" documentId="13_ncr:1_{1B30C0FE-9C49-4D32-B1F2-52764E6DF490}" xr6:coauthVersionLast="47" xr6:coauthVersionMax="47" xr10:uidLastSave="{00000000-0000-0000-0000-000000000000}"/>
  <bookViews>
    <workbookView xWindow="-98" yWindow="-98" windowWidth="21795" windowHeight="12975" firstSheet="10" activeTab="17" xr2:uid="{00000000-000D-0000-FFFF-FFFF00000000}"/>
  </bookViews>
  <sheets>
    <sheet name="Subjective_Q1" sheetId="1" r:id="rId1"/>
    <sheet name="Subjective_Q2" sheetId="2" r:id="rId2"/>
    <sheet name="Subjective_Q3" sheetId="3" r:id="rId3"/>
    <sheet name="Subjective_Q5" sheetId="4" r:id="rId4"/>
    <sheet name="Subjective_Q6" sheetId="5" r:id="rId5"/>
    <sheet name="Subjective_Q7" sheetId="7" r:id="rId6"/>
    <sheet name="PPT_G1" sheetId="8" r:id="rId7"/>
    <sheet name="PPT_G2" sheetId="9" r:id="rId8"/>
    <sheet name="PPT_G3" sheetId="10" r:id="rId9"/>
    <sheet name="PPT_G4" sheetId="11" r:id="rId10"/>
    <sheet name="PPT_G5" sheetId="12" r:id="rId11"/>
    <sheet name="PPT_G6" sheetId="13" r:id="rId12"/>
    <sheet name="PPT_G7" sheetId="14" r:id="rId13"/>
    <sheet name="PPT_G8" sheetId="15" r:id="rId14"/>
    <sheet name="PPT_G9" sheetId="16" r:id="rId15"/>
    <sheet name="PPT_G10" sheetId="17" r:id="rId16"/>
    <sheet name="PPY_G11" sheetId="18" r:id="rId17"/>
    <sheet name="PPT_G12" sheetId="19" r:id="rId18"/>
  </sheets>
  <calcPr calcId="162913"/>
  <pivotCaches>
    <pivotCache cacheId="10" r:id="rId19"/>
    <pivotCache cacheId="14" r:id="rId20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<sst xmlns="http://schemas.openxmlformats.org/spreadsheetml/2006/main" count="433" uniqueCount="158">
  <si>
    <t>Are You Experienced?</t>
  </si>
  <si>
    <t>Jimi Hendrix</t>
  </si>
  <si>
    <t>Rock</t>
  </si>
  <si>
    <t>From The Muddy Banks Of The Wishkah [live]</t>
  </si>
  <si>
    <t>Nirvana</t>
  </si>
  <si>
    <t>The Doors</t>
  </si>
  <si>
    <t>Seek And Shall Find: More Of The Best (1963-1981)</t>
  </si>
  <si>
    <t>Marvin Gaye</t>
  </si>
  <si>
    <t>R&amp;B/Soul</t>
  </si>
  <si>
    <t>Green</t>
  </si>
  <si>
    <t>R.E.M.</t>
  </si>
  <si>
    <t>Alternative &amp; Punk</t>
  </si>
  <si>
    <t>Blues</t>
  </si>
  <si>
    <t>Metal</t>
  </si>
  <si>
    <t>album_title</t>
  </si>
  <si>
    <t>artist_name</t>
  </si>
  <si>
    <t>genre_name</t>
  </si>
  <si>
    <t>total_sales</t>
  </si>
  <si>
    <t>album_id</t>
  </si>
  <si>
    <t>Top selling genres in countries other then USA</t>
  </si>
  <si>
    <t>Latin</t>
  </si>
  <si>
    <t>Jazz</t>
  </si>
  <si>
    <t>genre_id</t>
  </si>
  <si>
    <t>Top selling genres in USA</t>
  </si>
  <si>
    <t>customer_category</t>
  </si>
  <si>
    <t xml:space="preserve"> avg_purchase_frequency</t>
  </si>
  <si>
    <t xml:space="preserve"> avg_basket_size</t>
  </si>
  <si>
    <t xml:space="preserve"> avg_total_amount</t>
  </si>
  <si>
    <t>Long-Term</t>
  </si>
  <si>
    <t>New</t>
  </si>
  <si>
    <t>country</t>
  </si>
  <si>
    <t xml:space="preserve"> revenue</t>
  </si>
  <si>
    <t xml:space="preserve"> avg_order_amount</t>
  </si>
  <si>
    <t xml:space="preserve"> total_orders</t>
  </si>
  <si>
    <t xml:space="preserve"> total_customers</t>
  </si>
  <si>
    <t xml:space="preserve"> churn_percentage</t>
  </si>
  <si>
    <t>Argentina</t>
  </si>
  <si>
    <t>Australia</t>
  </si>
  <si>
    <t>Austria</t>
  </si>
  <si>
    <t>Belgium</t>
  </si>
  <si>
    <t>Brazil</t>
  </si>
  <si>
    <t>Canada</t>
  </si>
  <si>
    <t>Chile</t>
  </si>
  <si>
    <t>Czech Republic</t>
  </si>
  <si>
    <t>Denmark</t>
  </si>
  <si>
    <t>Finland</t>
  </si>
  <si>
    <t>France</t>
  </si>
  <si>
    <t>Germany</t>
  </si>
  <si>
    <t>Hungary</t>
  </si>
  <si>
    <t>India</t>
  </si>
  <si>
    <t>Ireland</t>
  </si>
  <si>
    <t>Italy</t>
  </si>
  <si>
    <t>Netherlands</t>
  </si>
  <si>
    <t>Norway</t>
  </si>
  <si>
    <t>Poland</t>
  </si>
  <si>
    <t>Portugal</t>
  </si>
  <si>
    <t>Spain</t>
  </si>
  <si>
    <t>Sweden</t>
  </si>
  <si>
    <t>United Kingdom</t>
  </si>
  <si>
    <t>USA</t>
  </si>
  <si>
    <t>customer_id</t>
  </si>
  <si>
    <t xml:space="preserve"> country</t>
  </si>
  <si>
    <t xml:space="preserve"> total_spent</t>
  </si>
  <si>
    <t xml:space="preserve"> customer_status</t>
  </si>
  <si>
    <t>High Risk</t>
  </si>
  <si>
    <t>Low Risk</t>
  </si>
  <si>
    <t>Row Labels</t>
  </si>
  <si>
    <t>Grand Total</t>
  </si>
  <si>
    <t>Sum of  total_spent</t>
  </si>
  <si>
    <t>Average of  avg_order_amount</t>
  </si>
  <si>
    <t>Sum of  total_orders</t>
  </si>
  <si>
    <t>Average of  total_orders</t>
  </si>
  <si>
    <t>Average of  total_spent</t>
  </si>
  <si>
    <t xml:space="preserve"> customer_full_name</t>
  </si>
  <si>
    <t xml:space="preserve"> first_purchase</t>
  </si>
  <si>
    <t xml:space="preserve"> latest_purchase</t>
  </si>
  <si>
    <t xml:space="preserve"> tenure</t>
  </si>
  <si>
    <t xml:space="preserve"> customer_category</t>
  </si>
  <si>
    <t>Luís Gonçalves</t>
  </si>
  <si>
    <t>Active customer</t>
  </si>
  <si>
    <t>Leonie Köhler</t>
  </si>
  <si>
    <t>François Tremblay</t>
  </si>
  <si>
    <t>churned customer</t>
  </si>
  <si>
    <t>Bjørn Hansen</t>
  </si>
  <si>
    <t>František Wichterlová</t>
  </si>
  <si>
    <t>Helena Holý</t>
  </si>
  <si>
    <t>Astrid Gruber</t>
  </si>
  <si>
    <t>Daan Peeters</t>
  </si>
  <si>
    <t>Kara Nielsen</t>
  </si>
  <si>
    <t>Eduardo Martins</t>
  </si>
  <si>
    <t>Alexandre Rocha</t>
  </si>
  <si>
    <t>Roberto Almeida</t>
  </si>
  <si>
    <t>Fernanda Ramos</t>
  </si>
  <si>
    <t>Mark Philips</t>
  </si>
  <si>
    <t>Jennifer Peterson</t>
  </si>
  <si>
    <t>Frank Harris</t>
  </si>
  <si>
    <t>Jack Smith</t>
  </si>
  <si>
    <t>Michelle Brooks</t>
  </si>
  <si>
    <t>Tim Goyer</t>
  </si>
  <si>
    <t>Dan Miller</t>
  </si>
  <si>
    <t>Kathy Chase</t>
  </si>
  <si>
    <t>Heather Leacock</t>
  </si>
  <si>
    <t>John Gordon</t>
  </si>
  <si>
    <t>Frank Ralston</t>
  </si>
  <si>
    <t>Victor Stevens</t>
  </si>
  <si>
    <t>Richard Cunningham</t>
  </si>
  <si>
    <t>Patrick Gray</t>
  </si>
  <si>
    <t>Julia Barnett</t>
  </si>
  <si>
    <t>Robert Brown</t>
  </si>
  <si>
    <t>Edward Francis</t>
  </si>
  <si>
    <t>Martha Silk</t>
  </si>
  <si>
    <t>Aaron Mitchell</t>
  </si>
  <si>
    <t>Ellie Sullivan</t>
  </si>
  <si>
    <t>João Fernandes</t>
  </si>
  <si>
    <t>Madalena Sampaio</t>
  </si>
  <si>
    <t>Hannah Schneider</t>
  </si>
  <si>
    <t>Fynn Zimmermann</t>
  </si>
  <si>
    <t>Niklas Schröder</t>
  </si>
  <si>
    <t>Camille Bernard</t>
  </si>
  <si>
    <t>Dominique Lefebvre</t>
  </si>
  <si>
    <t>Marc Dubois</t>
  </si>
  <si>
    <t>Wyatt Girard</t>
  </si>
  <si>
    <t>Isabelle Mercier</t>
  </si>
  <si>
    <t>Terhi Hämäläinen</t>
  </si>
  <si>
    <t>Ladislav Kovács</t>
  </si>
  <si>
    <t>Hugh O'Reilly</t>
  </si>
  <si>
    <t>Lucas Mancini</t>
  </si>
  <si>
    <t>Johannes Van der Berg</t>
  </si>
  <si>
    <t>Stanisław Wójcik</t>
  </si>
  <si>
    <t>Enrique Muñoz</t>
  </si>
  <si>
    <t>Joakim Johansson</t>
  </si>
  <si>
    <t>Emma Jones</t>
  </si>
  <si>
    <t>Phil Hughes</t>
  </si>
  <si>
    <t>Steve Murray</t>
  </si>
  <si>
    <t>Mark Taylor</t>
  </si>
  <si>
    <t>Diego Gutiérrez</t>
  </si>
  <si>
    <t>Luis Rojas</t>
  </si>
  <si>
    <t>Manoj Pareek</t>
  </si>
  <si>
    <t>Puja Srivastava</t>
  </si>
  <si>
    <t>Count of customer_id</t>
  </si>
  <si>
    <t>billing_country</t>
  </si>
  <si>
    <t xml:space="preserve"> total_sales</t>
  </si>
  <si>
    <t xml:space="preserve"> genre_rank</t>
  </si>
  <si>
    <t xml:space="preserve"> total_revenue</t>
  </si>
  <si>
    <t xml:space="preserve"> total_purchases</t>
  </si>
  <si>
    <t>Van Halen</t>
  </si>
  <si>
    <t>Eric Clapton</t>
  </si>
  <si>
    <t>The Rolling Stones</t>
  </si>
  <si>
    <t>track_name</t>
  </si>
  <si>
    <t>War Pigs</t>
  </si>
  <si>
    <t>Scentless Apprentice</t>
  </si>
  <si>
    <t>Night Of The Long Knives</t>
  </si>
  <si>
    <t>I Looked At You</t>
  </si>
  <si>
    <t>You Know I'm No Good</t>
  </si>
  <si>
    <t xml:space="preserve"> total_chunk_customers</t>
  </si>
  <si>
    <t xml:space="preserve"> customer_chunk_rate</t>
  </si>
  <si>
    <t>customer_status</t>
  </si>
  <si>
    <t>Churned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</si>
</sst>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0" fontId="0" fillId="0" borderId="0" xfId="0" applyNumberFormat="1"/>
    <xf numFmtId="14" fontId="0" fillId="0" borderId="0" xfId="0" applyNumberFormat="1" applyAlignment="1">
      <alignment vertical="center" wrapText="1"/>
    </xf>
    <xf numFmtId="170" fontId="0" fillId="0" borderId="0" xfId="0" applyNumberFormat="1" applyAlignment="1">
      <alignment vertical="center" wrapText="1"/>
    </xf>
  </cellXfs>
  <cellStyles count="1">
    <cellStyle name="Normal" xfId="0" builtinId="0"/>
  </cellStyles>
  <dxfs count="1">
    <dxf>
      <numFmt numFmtId="170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Recommanded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Albums &amp; Genres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Subjective_Q1!$E$1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2.4791158887122926E-3"/>
                  <c:y val="-0.2916666666666666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C9-4CD8-B928-916472D010B1}"/>
                </c:ext>
              </c:extLst>
            </c:dLbl>
            <c:dLbl>
              <c:idx val="1"/>
              <c:layout>
                <c:manualLayout>
                  <c:x val="0"/>
                  <c:y val="-0.296296296296296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C9-4CD8-B928-916472D010B1}"/>
                </c:ext>
              </c:extLst>
            </c:dLbl>
            <c:dLbl>
              <c:idx val="2"/>
              <c:layout>
                <c:manualLayout>
                  <c:x val="-4.9582317774245852E-3"/>
                  <c:y val="-0.240740740740740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C9-4CD8-B928-916472D010B1}"/>
                </c:ext>
              </c:extLst>
            </c:dLbl>
            <c:dLbl>
              <c:idx val="3"/>
              <c:layout>
                <c:manualLayout>
                  <c:x val="-9.0899865836443795E-17"/>
                  <c:y val="-0.189814814814814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C9-4CD8-B928-916472D010B1}"/>
                </c:ext>
              </c:extLst>
            </c:dLbl>
            <c:dLbl>
              <c:idx val="4"/>
              <c:layout>
                <c:manualLayout>
                  <c:x val="-2.4791158887122926E-3"/>
                  <c:y val="-0.143518518518518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C9-4CD8-B928-916472D010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Subjective_Q1!$C$2:$D$6</c:f>
              <c:multiLvlStrCache>
                <c:ptCount val="5"/>
                <c:lvl>
                  <c:pt idx="0">
                    <c:v>Rock</c:v>
                  </c:pt>
                  <c:pt idx="1">
                    <c:v>Rock</c:v>
                  </c:pt>
                  <c:pt idx="2">
                    <c:v>Rock</c:v>
                  </c:pt>
                  <c:pt idx="3">
                    <c:v>R&amp;B/Soul</c:v>
                  </c:pt>
                  <c:pt idx="4">
                    <c:v>Alternative &amp; Punk</c:v>
                  </c:pt>
                </c:lvl>
                <c:lvl>
                  <c:pt idx="0">
                    <c:v>Are You Experienced?</c:v>
                  </c:pt>
                  <c:pt idx="1">
                    <c:v>From The Muddy Banks Of The Wishkah [live]</c:v>
                  </c:pt>
                  <c:pt idx="2">
                    <c:v>The Doors</c:v>
                  </c:pt>
                  <c:pt idx="3">
                    <c:v>Seek And Shall Find: More Of The Best (1963-1981)</c:v>
                  </c:pt>
                  <c:pt idx="4">
                    <c:v>Green</c:v>
                  </c:pt>
                </c:lvl>
              </c:multiLvlStrCache>
            </c:multiLvlStrRef>
          </c:cat>
          <c:val>
            <c:numRef>
              <c:f>Subjective_Q1!$E$2:$E$6</c:f>
              <c:numCache>
                <c:formatCode>General</c:formatCode>
                <c:ptCount val="5"/>
                <c:pt idx="0">
                  <c:v>27.72</c:v>
                </c:pt>
                <c:pt idx="1">
                  <c:v>27.72</c:v>
                </c:pt>
                <c:pt idx="2">
                  <c:v>26.73</c:v>
                </c:pt>
                <c:pt idx="3">
                  <c:v>25.74</c:v>
                </c:pt>
                <c:pt idx="4">
                  <c:v>24.75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CD8-B928-916472D010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36115248"/>
        <c:axId val="1936118128"/>
      </c:barChart>
      <c:catAx>
        <c:axId val="193611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118128"/>
        <c:crosses val="autoZero"/>
        <c:auto val="1"/>
        <c:lblAlgn val="ctr"/>
        <c:lblOffset val="100"/>
        <c:noMultiLvlLbl val="0"/>
      </c:catAx>
      <c:valAx>
        <c:axId val="1936118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611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2">
                    <a:lumMod val="75000"/>
                  </a:schemeClr>
                </a:solidFill>
              </a:rPr>
              <a:t>Top selling genres in countries other then USA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2731334408019993E-17"/>
                  <c:y val="-0.3240740740740741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BA-41D2-B903-C605CC27F7B3}"/>
                </c:ext>
              </c:extLst>
            </c:dLbl>
            <c:dLbl>
              <c:idx val="1"/>
              <c:layout>
                <c:manualLayout>
                  <c:x val="0"/>
                  <c:y val="-0.106481481481481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BA-41D2-B903-C605CC27F7B3}"/>
                </c:ext>
              </c:extLst>
            </c:dLbl>
            <c:dLbl>
              <c:idx val="2"/>
              <c:layout>
                <c:manualLayout>
                  <c:x val="-5.0925337632079971E-17"/>
                  <c:y val="-8.796296296296313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BA-41D2-B903-C605CC27F7B3}"/>
                </c:ext>
              </c:extLst>
            </c:dLbl>
            <c:dLbl>
              <c:idx val="3"/>
              <c:layout>
                <c:manualLayout>
                  <c:x val="0"/>
                  <c:y val="-5.555555555555555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BA-41D2-B903-C605CC27F7B3}"/>
                </c:ext>
              </c:extLst>
            </c:dLbl>
            <c:dLbl>
              <c:idx val="4"/>
              <c:layout>
                <c:manualLayout>
                  <c:x val="0"/>
                  <c:y val="-4.16666666666666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BA-41D2-B903-C605CC27F7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Subjective_Q2!$B$3:$B$7</c:f>
              <c:strCache>
                <c:ptCount val="5"/>
                <c:pt idx="0">
                  <c:v>Rock</c:v>
                </c:pt>
                <c:pt idx="1">
                  <c:v>Metal</c:v>
                </c:pt>
                <c:pt idx="2">
                  <c:v>Alternative &amp; Punk</c:v>
                </c:pt>
                <c:pt idx="3">
                  <c:v>Latin</c:v>
                </c:pt>
                <c:pt idx="4">
                  <c:v>Jazz</c:v>
                </c:pt>
              </c:strCache>
            </c:strRef>
          </c:cat>
          <c:val>
            <c:numRef>
              <c:f>Subjective_Q2!$C$3:$C$7</c:f>
              <c:numCache>
                <c:formatCode>General</c:formatCode>
                <c:ptCount val="5"/>
                <c:pt idx="0">
                  <c:v>2053.2600000000002</c:v>
                </c:pt>
                <c:pt idx="1">
                  <c:v>490.05</c:v>
                </c:pt>
                <c:pt idx="2">
                  <c:v>358.38</c:v>
                </c:pt>
                <c:pt idx="3">
                  <c:v>143.55000000000001</c:v>
                </c:pt>
                <c:pt idx="4">
                  <c:v>105.93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A-41D2-B903-C605CC27F7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69856768"/>
        <c:axId val="1836305680"/>
      </c:barChart>
      <c:catAx>
        <c:axId val="156985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36305680"/>
        <c:crosses val="autoZero"/>
        <c:auto val="1"/>
        <c:lblAlgn val="ctr"/>
        <c:lblOffset val="100"/>
        <c:noMultiLvlLbl val="0"/>
      </c:catAx>
      <c:valAx>
        <c:axId val="18363056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6985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>
                    <a:lumMod val="50000"/>
                  </a:schemeClr>
                </a:solidFill>
              </a:rPr>
              <a:t>Top selling genres in USA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Subjective_Q2!$K$2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509235010763666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31-45A2-B782-81F8C5852AF1}"/>
                </c:ext>
              </c:extLst>
            </c:dLbl>
            <c:dLbl>
              <c:idx val="1"/>
              <c:layout>
                <c:manualLayout>
                  <c:x val="0"/>
                  <c:y val="-0.1200527766840202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31-45A2-B782-81F8C5852AF1}"/>
                </c:ext>
              </c:extLst>
            </c:dLbl>
            <c:dLbl>
              <c:idx val="2"/>
              <c:layout>
                <c:manualLayout>
                  <c:x val="5.0999539061177733E-17"/>
                  <c:y val="-0.11543536219617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31-45A2-B782-81F8C5852AF1}"/>
                </c:ext>
              </c:extLst>
            </c:dLbl>
            <c:dLbl>
              <c:idx val="3"/>
              <c:layout>
                <c:manualLayout>
                  <c:x val="-1.0199907812235547E-16"/>
                  <c:y val="-6.92612173177040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31-45A2-B782-81F8C5852AF1}"/>
                </c:ext>
              </c:extLst>
            </c:dLbl>
            <c:dLbl>
              <c:idx val="4"/>
              <c:layout>
                <c:manualLayout>
                  <c:x val="-1.0199907812235547E-16"/>
                  <c:y val="-6.002638834201007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31-45A2-B782-81F8C5852A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Subjective_Q2!$J$3:$J$7</c:f>
              <c:strCache>
                <c:ptCount val="5"/>
                <c:pt idx="0">
                  <c:v>Rock</c:v>
                </c:pt>
                <c:pt idx="1">
                  <c:v>Alternative &amp; Punk</c:v>
                </c:pt>
                <c:pt idx="2">
                  <c:v>Metal</c:v>
                </c:pt>
                <c:pt idx="3">
                  <c:v>R&amp;B/Soul</c:v>
                </c:pt>
                <c:pt idx="4">
                  <c:v>Blues</c:v>
                </c:pt>
              </c:strCache>
            </c:strRef>
          </c:cat>
          <c:val>
            <c:numRef>
              <c:f>Subjective_Q2!$K$3:$K$7</c:f>
              <c:numCache>
                <c:formatCode>General</c:formatCode>
                <c:ptCount val="5"/>
                <c:pt idx="0">
                  <c:v>555.39</c:v>
                </c:pt>
                <c:pt idx="1">
                  <c:v>128.69999999999999</c:v>
                </c:pt>
                <c:pt idx="2">
                  <c:v>122.76</c:v>
                </c:pt>
                <c:pt idx="3">
                  <c:v>52.47</c:v>
                </c:pt>
                <c:pt idx="4">
                  <c:v>35.64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1-45A2-B782-81F8C5852A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2717232"/>
        <c:axId val="132718192"/>
      </c:barChart>
      <c:catAx>
        <c:axId val="13271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2718192"/>
        <c:crosses val="autoZero"/>
        <c:auto val="1"/>
        <c:lblAlgn val="ctr"/>
        <c:lblOffset val="100"/>
        <c:noMultiLvlLbl val="0"/>
      </c:catAx>
      <c:valAx>
        <c:axId val="1327181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271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rgbClr val="FF0000">
            <a:tint val="66000"/>
            <a:satMod val="160000"/>
          </a:srgbClr>
        </a:gs>
        <a:gs pos="50000">
          <a:srgbClr val="FF0000">
            <a:tint val="44500"/>
            <a:satMod val="160000"/>
          </a:srgbClr>
        </a:gs>
        <a:gs pos="100000">
          <a:srgbClr val="FF0000">
            <a:tint val="23500"/>
            <a:satMod val="160000"/>
          </a:srgbClr>
        </a:gs>
      </a:gsLst>
      <a:lin ang="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effectLst/>
              </a:rPr>
              <a:t>Customer Purchasing Behaviour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Subjective_Q3!$A$2</c:f>
              <c:strCache>
                <c:ptCount val="1"/>
                <c:pt idx="0">
                  <c:v>Long-Term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Subjective_Q3!$B$1:$D$1</c:f>
              <c:strCache>
                <c:ptCount val="3"/>
                <c:pt idx="0">
                  <c:v> avg_purchase_frequency</c:v>
                </c:pt>
                <c:pt idx="1">
                  <c:v> avg_basket_size</c:v>
                </c:pt>
                <c:pt idx="2">
                  <c:v> avg_total_amount</c:v>
                </c:pt>
              </c:strCache>
            </c:strRef>
          </c:cat>
          <c:val>
            <c:numRef>
              <c:f>Subjective_Q3!$B$2:$D$2</c:f>
              <c:numCache>
                <c:formatCode>General</c:formatCode>
                <c:ptCount val="3"/>
                <c:pt idx="0">
                  <c:v>464</c:v>
                </c:pt>
                <c:pt idx="1">
                  <c:v>7.77</c:v>
                </c:pt>
                <c:pt idx="2">
                  <c:v>36163.71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F-4FE8-AC4C-9A129F98419C}"/>
            </c:ext>
          </c:extLst>
        </c:ser>
        <c:ser>
          <c:idx val="1"/>
          <c:order val="1"/>
          <c:tx>
            <c:strRef>
              <c:f>Subjective_Q3!$A$3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Subjective_Q3!$B$1:$D$1</c:f>
              <c:strCache>
                <c:ptCount val="3"/>
                <c:pt idx="0">
                  <c:v> avg_purchase_frequency</c:v>
                </c:pt>
                <c:pt idx="1">
                  <c:v> avg_basket_size</c:v>
                </c:pt>
                <c:pt idx="2">
                  <c:v> avg_total_amount</c:v>
                </c:pt>
              </c:strCache>
            </c:strRef>
          </c:cat>
          <c:val>
            <c:numRef>
              <c:f>Subjective_Q3!$B$3:$D$3</c:f>
              <c:numCache>
                <c:formatCode>General</c:formatCode>
                <c:ptCount val="3"/>
                <c:pt idx="0">
                  <c:v>150</c:v>
                </c:pt>
                <c:pt idx="1">
                  <c:v>7.67</c:v>
                </c:pt>
                <c:pt idx="2">
                  <c:v>11339.46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F-4FE8-AC4C-9A129F9841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29605104"/>
        <c:axId val="1429611344"/>
      </c:barChart>
      <c:catAx>
        <c:axId val="142960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611344"/>
        <c:crosses val="autoZero"/>
        <c:auto val="1"/>
        <c:lblAlgn val="ctr"/>
        <c:lblOffset val="100"/>
        <c:noMultiLvlLbl val="0"/>
      </c:catAx>
      <c:valAx>
        <c:axId val="142961134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2960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Regional Market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Subjective_Q5!$B$1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Subjective_Q5!$A$2:$A$25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Subjective_Q5!$B$2:$B$25</c:f>
              <c:numCache>
                <c:formatCode>General</c:formatCode>
                <c:ptCount val="24"/>
                <c:pt idx="0">
                  <c:v>39.6</c:v>
                </c:pt>
                <c:pt idx="1">
                  <c:v>81.180000000000007</c:v>
                </c:pt>
                <c:pt idx="2">
                  <c:v>69.3</c:v>
                </c:pt>
                <c:pt idx="3">
                  <c:v>60.39</c:v>
                </c:pt>
                <c:pt idx="4">
                  <c:v>427.68</c:v>
                </c:pt>
                <c:pt idx="5">
                  <c:v>535.59</c:v>
                </c:pt>
                <c:pt idx="6">
                  <c:v>97.02</c:v>
                </c:pt>
                <c:pt idx="7">
                  <c:v>273.24</c:v>
                </c:pt>
                <c:pt idx="8">
                  <c:v>37.619999999999997</c:v>
                </c:pt>
                <c:pt idx="9">
                  <c:v>79.2</c:v>
                </c:pt>
                <c:pt idx="10">
                  <c:v>389.07</c:v>
                </c:pt>
                <c:pt idx="11">
                  <c:v>334.62</c:v>
                </c:pt>
                <c:pt idx="12">
                  <c:v>78.209999999999994</c:v>
                </c:pt>
                <c:pt idx="13">
                  <c:v>183.15</c:v>
                </c:pt>
                <c:pt idx="14">
                  <c:v>114.84</c:v>
                </c:pt>
                <c:pt idx="15">
                  <c:v>50.49</c:v>
                </c:pt>
                <c:pt idx="16">
                  <c:v>65.34</c:v>
                </c:pt>
                <c:pt idx="17">
                  <c:v>72.27</c:v>
                </c:pt>
                <c:pt idx="18">
                  <c:v>76.23</c:v>
                </c:pt>
                <c:pt idx="19">
                  <c:v>185.13</c:v>
                </c:pt>
                <c:pt idx="20">
                  <c:v>98.01</c:v>
                </c:pt>
                <c:pt idx="21">
                  <c:v>75.239999999999995</c:v>
                </c:pt>
                <c:pt idx="22">
                  <c:v>245.52</c:v>
                </c:pt>
                <c:pt idx="23">
                  <c:v>1040.49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8-4D72-B9A4-93AE85351EB6}"/>
            </c:ext>
          </c:extLst>
        </c:ser>
        <c:ser>
          <c:idx val="1"/>
          <c:order val="1"/>
          <c:tx>
            <c:strRef>
              <c:f>Subjective_Q5!$C$1</c:f>
              <c:strCache>
                <c:ptCount val="1"/>
                <c:pt idx="0">
                  <c:v> avg_order_amount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Subjective_Q5!$A$2:$A$25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Subjective_Q5!$C$2:$C$25</c:f>
              <c:numCache>
                <c:formatCode>General</c:formatCode>
                <c:ptCount val="24"/>
                <c:pt idx="0">
                  <c:v>7.92</c:v>
                </c:pt>
                <c:pt idx="1">
                  <c:v>8.1180000000000003</c:v>
                </c:pt>
                <c:pt idx="2">
                  <c:v>7.7</c:v>
                </c:pt>
                <c:pt idx="3">
                  <c:v>8.6271430000000002</c:v>
                </c:pt>
                <c:pt idx="4">
                  <c:v>7.0111480000000004</c:v>
                </c:pt>
                <c:pt idx="5">
                  <c:v>7.047237</c:v>
                </c:pt>
                <c:pt idx="6">
                  <c:v>7.4630770000000002</c:v>
                </c:pt>
                <c:pt idx="7">
                  <c:v>9.1080000000000005</c:v>
                </c:pt>
                <c:pt idx="8">
                  <c:v>3.762</c:v>
                </c:pt>
                <c:pt idx="9">
                  <c:v>7.2</c:v>
                </c:pt>
                <c:pt idx="10">
                  <c:v>7.7813999999999997</c:v>
                </c:pt>
                <c:pt idx="11">
                  <c:v>8.1614629999999995</c:v>
                </c:pt>
                <c:pt idx="12">
                  <c:v>7.8209999999999997</c:v>
                </c:pt>
                <c:pt idx="13">
                  <c:v>8.7214290000000005</c:v>
                </c:pt>
                <c:pt idx="14">
                  <c:v>8.8338459999999994</c:v>
                </c:pt>
                <c:pt idx="15">
                  <c:v>5.61</c:v>
                </c:pt>
                <c:pt idx="16">
                  <c:v>6.5339999999999998</c:v>
                </c:pt>
                <c:pt idx="17">
                  <c:v>8.0299999999999994</c:v>
                </c:pt>
                <c:pt idx="18">
                  <c:v>7.6230000000000002</c:v>
                </c:pt>
                <c:pt idx="19">
                  <c:v>6.3837929999999998</c:v>
                </c:pt>
                <c:pt idx="20">
                  <c:v>8.91</c:v>
                </c:pt>
                <c:pt idx="21">
                  <c:v>7.524</c:v>
                </c:pt>
                <c:pt idx="22">
                  <c:v>8.7685709999999997</c:v>
                </c:pt>
                <c:pt idx="23">
                  <c:v>7.942672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8-4D72-B9A4-93AE85351EB6}"/>
            </c:ext>
          </c:extLst>
        </c:ser>
        <c:ser>
          <c:idx val="2"/>
          <c:order val="2"/>
          <c:tx>
            <c:strRef>
              <c:f>Subjective_Q5!$D$1</c:f>
              <c:strCache>
                <c:ptCount val="1"/>
                <c:pt idx="0">
                  <c:v> total_orders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Subjective_Q5!$A$2:$A$25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Subjective_Q5!$D$2:$D$25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61</c:v>
                </c:pt>
                <c:pt idx="5">
                  <c:v>76</c:v>
                </c:pt>
                <c:pt idx="6">
                  <c:v>13</c:v>
                </c:pt>
                <c:pt idx="7">
                  <c:v>30</c:v>
                </c:pt>
                <c:pt idx="8">
                  <c:v>10</c:v>
                </c:pt>
                <c:pt idx="9">
                  <c:v>11</c:v>
                </c:pt>
                <c:pt idx="10">
                  <c:v>50</c:v>
                </c:pt>
                <c:pt idx="11">
                  <c:v>41</c:v>
                </c:pt>
                <c:pt idx="12">
                  <c:v>10</c:v>
                </c:pt>
                <c:pt idx="13">
                  <c:v>21</c:v>
                </c:pt>
                <c:pt idx="14">
                  <c:v>13</c:v>
                </c:pt>
                <c:pt idx="15">
                  <c:v>9</c:v>
                </c:pt>
                <c:pt idx="16">
                  <c:v>10</c:v>
                </c:pt>
                <c:pt idx="17">
                  <c:v>9</c:v>
                </c:pt>
                <c:pt idx="18">
                  <c:v>10</c:v>
                </c:pt>
                <c:pt idx="19">
                  <c:v>29</c:v>
                </c:pt>
                <c:pt idx="20">
                  <c:v>11</c:v>
                </c:pt>
                <c:pt idx="21">
                  <c:v>10</c:v>
                </c:pt>
                <c:pt idx="22">
                  <c:v>28</c:v>
                </c:pt>
                <c:pt idx="23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8-4D72-B9A4-93AE85351EB6}"/>
            </c:ext>
          </c:extLst>
        </c:ser>
        <c:ser>
          <c:idx val="3"/>
          <c:order val="3"/>
          <c:tx>
            <c:strRef>
              <c:f>Subjective_Q5!$E$1</c:f>
              <c:strCache>
                <c:ptCount val="1"/>
                <c:pt idx="0">
                  <c:v> total_customers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Subjective_Q5!$A$2:$A$25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Subjective_Q5!$E$2:$E$25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8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8-4D72-B9A4-93AE85351EB6}"/>
            </c:ext>
          </c:extLst>
        </c:ser>
        <c:ser>
          <c:idx val="4"/>
          <c:order val="4"/>
          <c:tx>
            <c:strRef>
              <c:f>Subjective_Q5!$F$1</c:f>
              <c:strCache>
                <c:ptCount val="1"/>
                <c:pt idx="0">
                  <c:v> churn_percentage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Subjective_Q5!$A$2:$A$25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Subjective_Q5!$F$2:$F$25</c:f>
              <c:numCache>
                <c:formatCode>General</c:formatCode>
                <c:ptCount val="24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100</c:v>
                </c:pt>
                <c:pt idx="4">
                  <c:v>60</c:v>
                </c:pt>
                <c:pt idx="5">
                  <c:v>12.5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40</c:v>
                </c:pt>
                <c:pt idx="11">
                  <c:v>75</c:v>
                </c:pt>
                <c:pt idx="12">
                  <c:v>0</c:v>
                </c:pt>
                <c:pt idx="13">
                  <c:v>50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100</c:v>
                </c:pt>
                <c:pt idx="18">
                  <c:v>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33.33</c:v>
                </c:pt>
                <c:pt idx="23">
                  <c:v>23.08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D8-4D72-B9A4-93AE85351EB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72649312"/>
        <c:axId val="1872640192"/>
      </c:barChart>
      <c:catAx>
        <c:axId val="187264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40192"/>
        <c:crosses val="autoZero"/>
        <c:auto val="1"/>
        <c:lblAlgn val="ctr"/>
        <c:lblOffset val="100"/>
        <c:noMultiLvlLbl val="0"/>
      </c:catAx>
      <c:valAx>
        <c:axId val="1872640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4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[Chinook_excel.xlsx]Subjective_Q6!PivotTable3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Customer Risk Profiling</a:t>
            </a:r>
            <a:endParaRPr lang="en-IN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Subjective_Q6!$J$4</c:f>
              <c:strCache>
                <c:ptCount val="1"/>
                <c:pt idx="0">
                  <c:v>Average of  total_spent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Subjective_Q6!$I$5:$I$7</c:f>
              <c:strCache>
                <c:ptCount val="2"/>
                <c:pt idx="0">
                  <c:v>High Risk</c:v>
                </c:pt>
                <c:pt idx="1">
                  <c:v>Low Risk</c:v>
                </c:pt>
              </c:strCache>
            </c:strRef>
          </c:cat>
          <c:val>
            <c:numRef>
              <c:f>Subjective_Q6!$J$5:$J$7</c:f>
              <c:numCache>
                <c:formatCode>0.0</c:formatCode>
                <c:ptCount val="2"/>
                <c:pt idx="0">
                  <c:v>72.930000000000021</c:v>
                </c:pt>
                <c:pt idx="1">
                  <c:v>82.676511627906976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4-4394-B9CD-C0DB6971A69A}"/>
            </c:ext>
          </c:extLst>
        </c:ser>
        <c:ser>
          <c:idx val="1"/>
          <c:order val="1"/>
          <c:tx>
            <c:strRef>
              <c:f>Subjective_Q6!$K$4</c:f>
              <c:strCache>
                <c:ptCount val="1"/>
                <c:pt idx="0">
                  <c:v>Average of  total_orders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Subjective_Q6!$I$5:$I$7</c:f>
              <c:strCache>
                <c:ptCount val="2"/>
                <c:pt idx="0">
                  <c:v>High Risk</c:v>
                </c:pt>
                <c:pt idx="1">
                  <c:v>Low Risk</c:v>
                </c:pt>
              </c:strCache>
            </c:strRef>
          </c:cat>
          <c:val>
            <c:numRef>
              <c:f>Subjective_Q6!$K$5:$K$7</c:f>
              <c:numCache>
                <c:formatCode>0.0</c:formatCode>
                <c:ptCount val="2"/>
                <c:pt idx="0">
                  <c:v>9.1333333333333329</c:v>
                </c:pt>
                <c:pt idx="1">
                  <c:v>10.930232558139535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A4-4394-B9CD-C0DB6971A69A}"/>
            </c:ext>
          </c:extLst>
        </c:ser>
        <c:ser>
          <c:idx val="2"/>
          <c:order val="2"/>
          <c:tx>
            <c:strRef>
              <c:f>Subjective_Q6!$L$4</c:f>
              <c:strCache>
                <c:ptCount val="1"/>
                <c:pt idx="0">
                  <c:v>Average of  avg_order_amount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Subjective_Q6!$I$5:$I$7</c:f>
              <c:strCache>
                <c:ptCount val="2"/>
                <c:pt idx="0">
                  <c:v>High Risk</c:v>
                </c:pt>
                <c:pt idx="1">
                  <c:v>Low Risk</c:v>
                </c:pt>
              </c:strCache>
            </c:strRef>
          </c:cat>
          <c:val>
            <c:numRef>
              <c:f>Subjective_Q6!$L$5:$L$7</c:f>
              <c:numCache>
                <c:formatCode>0.0</c:formatCode>
                <c:ptCount val="2"/>
                <c:pt idx="0">
                  <c:v>8.1411718000000004</c:v>
                </c:pt>
                <c:pt idx="1">
                  <c:v>7.6022135581395354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A4-4394-B9CD-C0DB6971A6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872623872"/>
        <c:axId val="1872624352"/>
      </c:barChart>
      <c:catAx>
        <c:axId val="187262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24352"/>
        <c:crosses val="autoZero"/>
        <c:auto val="1"/>
        <c:lblAlgn val="ctr"/>
        <c:lblOffset val="100"/>
        <c:noMultiLvlLbl val="0"/>
      </c:catAx>
      <c:valAx>
        <c:axId val="1872624352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87262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[Chinook_excel.xlsx]Subjective_Q7!PivotTable4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Customer Lifetime Value Model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1111111111111165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7222222222222221E-2"/>
              <c:y val="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3333333333332309E-3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Subjective_Q7!$M$5</c:f>
              <c:strCache>
                <c:ptCount val="1"/>
                <c:pt idx="0">
                  <c:v>Sum of  total_orders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Subjective_Q7!$L$6:$L$8</c:f>
              <c:strCache>
                <c:ptCount val="2"/>
                <c:pt idx="0">
                  <c:v>Active customer</c:v>
                </c:pt>
                <c:pt idx="1">
                  <c:v>churned customer</c:v>
                </c:pt>
              </c:strCache>
            </c:strRef>
          </c:cat>
          <c:val>
            <c:numRef>
              <c:f>Subjective_Q7!$M$6:$M$8</c:f>
              <c:numCache>
                <c:formatCode>General</c:formatCode>
                <c:ptCount val="2"/>
                <c:pt idx="0">
                  <c:v>456</c:v>
                </c:pt>
                <c:pt idx="1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7-4B00-B6CE-77D3DC299B77}"/>
            </c:ext>
          </c:extLst>
        </c:ser>
        <c:ser>
          <c:idx val="1"/>
          <c:order val="1"/>
          <c:tx>
            <c:strRef>
              <c:f>Subjective_Q7!$N$5</c:f>
              <c:strCache>
                <c:ptCount val="1"/>
                <c:pt idx="0">
                  <c:v>Sum of  total_spent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8.3333333333332309E-3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77-4B00-B6CE-77D3DC299B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Subjective_Q7!$L$6:$L$8</c:f>
              <c:strCache>
                <c:ptCount val="2"/>
                <c:pt idx="0">
                  <c:v>Active customer</c:v>
                </c:pt>
                <c:pt idx="1">
                  <c:v>churned customer</c:v>
                </c:pt>
              </c:strCache>
            </c:strRef>
          </c:cat>
          <c:val>
            <c:numRef>
              <c:f>Subjective_Q7!$N$6:$N$8</c:f>
              <c:numCache>
                <c:formatCode>General</c:formatCode>
                <c:ptCount val="2"/>
                <c:pt idx="0">
                  <c:v>3525.389999999999</c:v>
                </c:pt>
                <c:pt idx="1">
                  <c:v>1184.04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7-4B00-B6CE-77D3DC299B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72632992"/>
        <c:axId val="1872620032"/>
      </c:barChart>
      <c:lineChart>
        <c:grouping val="standard"/>
        <c:varyColors val="0"/>
        <c:ser>
          <c:idx val="2"/>
          <c:order val="2"/>
          <c:tx>
            <c:strRef>
              <c:f>Subjective_Q7!$O$5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4.7222222222222221E-2"/>
                  <c:y val="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77-4B00-B6CE-77D3DC299B77}"/>
                </c:ext>
              </c:extLst>
            </c:dLbl>
            <c:dLbl>
              <c:idx val="1"/>
              <c:layout>
                <c:manualLayout>
                  <c:x val="-6.1111111111111165E-2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77-4B00-B6CE-77D3DC299B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Subjective_Q7!$L$6:$L$8</c:f>
              <c:strCache>
                <c:ptCount val="2"/>
                <c:pt idx="0">
                  <c:v>Active customer</c:v>
                </c:pt>
                <c:pt idx="1">
                  <c:v>churned customer</c:v>
                </c:pt>
              </c:strCache>
            </c:strRef>
          </c:cat>
          <c:val>
            <c:numRef>
              <c:f>Subjective_Q7!$O$6:$O$8</c:f>
              <c:numCache>
                <c:formatCode>General</c:formatCode>
                <c:ptCount val="2"/>
                <c:pt idx="0">
                  <c:v>43</c:v>
                </c:pt>
                <c:pt idx="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77-4B00-B6CE-77D3DC299B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2614272"/>
        <c:axId val="1872631072"/>
      </c:lineChart>
      <c:catAx>
        <c:axId val="187261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31072"/>
        <c:crosses val="autoZero"/>
        <c:auto val="1"/>
        <c:lblAlgn val="ctr"/>
        <c:lblOffset val="100"/>
        <c:noMultiLvlLbl val="0"/>
      </c:catAx>
      <c:valAx>
        <c:axId val="187263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14272"/>
        <c:crosses val="autoZero"/>
        <c:crossBetween val="between"/>
      </c:valAx>
      <c:valAx>
        <c:axId val="187262003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32992"/>
        <c:crosses val="max"/>
        <c:crossBetween val="between"/>
      </c:valAx>
      <c:catAx>
        <c:axId val="1872632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26200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IN" sz="1400" b="1" i="0" u="none" strike="noStrike" baseline="0">
                <a:effectLst/>
              </a:rPr>
              <a:t>Customer Demographic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PPT_G1!$B$1</c:f>
              <c:strCache>
                <c:ptCount val="1"/>
                <c:pt idx="0">
                  <c:v> total_customers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63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3B-4440-A777-05EE9F6CD321}"/>
                </c:ext>
              </c:extLst>
            </c:dLbl>
            <c:dLbl>
              <c:idx val="1"/>
              <c:layout>
                <c:manualLayout>
                  <c:x val="0"/>
                  <c:y val="-0.1753550886040993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3B-4440-A777-05EE9F6CD321}"/>
                </c:ext>
              </c:extLst>
            </c:dLbl>
            <c:dLbl>
              <c:idx val="2"/>
              <c:layout>
                <c:manualLayout>
                  <c:x val="1.0916232109660102E-7"/>
                  <c:y val="-0.1176724936685404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9279954413814705E-2"/>
                      <c:h val="0.138369190408883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E3B-4440-A777-05EE9F6CD321}"/>
                </c:ext>
              </c:extLst>
            </c:dLbl>
            <c:dLbl>
              <c:idx val="3"/>
              <c:layout>
                <c:manualLayout>
                  <c:x val="0"/>
                  <c:y val="-0.115365189871118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3B-4440-A777-05EE9F6CD321}"/>
                </c:ext>
              </c:extLst>
            </c:dLbl>
            <c:dLbl>
              <c:idx val="4"/>
              <c:layout>
                <c:manualLayout>
                  <c:x val="0"/>
                  <c:y val="-0.1061359746814286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3B-4440-A777-05EE9F6CD321}"/>
                </c:ext>
              </c:extLst>
            </c:dLbl>
            <c:dLbl>
              <c:idx val="5"/>
              <c:layout>
                <c:manualLayout>
                  <c:x val="0"/>
                  <c:y val="-8.30629367072050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E3B-4440-A777-05EE9F6CD321}"/>
                </c:ext>
              </c:extLst>
            </c:dLbl>
            <c:dLbl>
              <c:idx val="6"/>
              <c:layout>
                <c:manualLayout>
                  <c:x val="0"/>
                  <c:y val="-6.9219113922670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E3B-4440-A777-05EE9F6CD321}"/>
                </c:ext>
              </c:extLst>
            </c:dLbl>
            <c:dLbl>
              <c:idx val="7"/>
              <c:layout>
                <c:manualLayout>
                  <c:x val="0"/>
                  <c:y val="-5.53752911381366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E3B-4440-A777-05EE9F6CD321}"/>
                </c:ext>
              </c:extLst>
            </c:dLbl>
            <c:dLbl>
              <c:idx val="8"/>
              <c:layout>
                <c:manualLayout>
                  <c:x val="0"/>
                  <c:y val="-5.998989873298136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E3B-4440-A777-05EE9F6CD321}"/>
                </c:ext>
              </c:extLst>
            </c:dLbl>
            <c:dLbl>
              <c:idx val="9"/>
              <c:layout>
                <c:manualLayout>
                  <c:x val="5.0832666967344013E-17"/>
                  <c:y val="-5.076068354329192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E3B-4440-A777-05EE9F6CD321}"/>
                </c:ext>
              </c:extLst>
            </c:dLbl>
            <c:dLbl>
              <c:idx val="10"/>
              <c:layout>
                <c:manualLayout>
                  <c:x val="-5.0832666967344013E-17"/>
                  <c:y val="-4.61460759484472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E3B-4440-A777-05EE9F6CD321}"/>
                </c:ext>
              </c:extLst>
            </c:dLbl>
            <c:dLbl>
              <c:idx val="11"/>
              <c:layout>
                <c:manualLayout>
                  <c:x val="0"/>
                  <c:y val="-5.076068354329192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E3B-4440-A777-05EE9F6CD321}"/>
                </c:ext>
              </c:extLst>
            </c:dLbl>
            <c:dLbl>
              <c:idx val="12"/>
              <c:layout>
                <c:manualLayout>
                  <c:x val="0"/>
                  <c:y val="-4.153146835360248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E3B-4440-A777-05EE9F6CD321}"/>
                </c:ext>
              </c:extLst>
            </c:dLbl>
            <c:dLbl>
              <c:idx val="13"/>
              <c:layout>
                <c:manualLayout>
                  <c:x val="0"/>
                  <c:y val="-4.61460759484472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E3B-4440-A777-05EE9F6CD321}"/>
                </c:ext>
              </c:extLst>
            </c:dLbl>
            <c:dLbl>
              <c:idx val="14"/>
              <c:layout>
                <c:manualLayout>
                  <c:x val="-1.0166533393468803E-16"/>
                  <c:y val="-4.61460759484472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E3B-4440-A777-05EE9F6CD321}"/>
                </c:ext>
              </c:extLst>
            </c:dLbl>
            <c:dLbl>
              <c:idx val="15"/>
              <c:layout>
                <c:manualLayout>
                  <c:x val="-1.0166533393468803E-16"/>
                  <c:y val="-4.61460759484472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E3B-4440-A777-05EE9F6CD321}"/>
                </c:ext>
              </c:extLst>
            </c:dLbl>
            <c:dLbl>
              <c:idx val="16"/>
              <c:layout>
                <c:manualLayout>
                  <c:x val="2.7727229558536658E-3"/>
                  <c:y val="-4.61460759484472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E3B-4440-A777-05EE9F6CD321}"/>
                </c:ext>
              </c:extLst>
            </c:dLbl>
            <c:dLbl>
              <c:idx val="17"/>
              <c:layout>
                <c:manualLayout>
                  <c:x val="0"/>
                  <c:y val="-4.153146835360248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E3B-4440-A777-05EE9F6CD321}"/>
                </c:ext>
              </c:extLst>
            </c:dLbl>
            <c:dLbl>
              <c:idx val="18"/>
              <c:layout>
                <c:manualLayout>
                  <c:x val="0"/>
                  <c:y val="-4.61460759484472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E3B-4440-A777-05EE9F6CD321}"/>
                </c:ext>
              </c:extLst>
            </c:dLbl>
            <c:dLbl>
              <c:idx val="19"/>
              <c:layout>
                <c:manualLayout>
                  <c:x val="-1.0166533393468803E-16"/>
                  <c:y val="-4.153146835360248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E3B-4440-A777-05EE9F6CD321}"/>
                </c:ext>
              </c:extLst>
            </c:dLbl>
            <c:dLbl>
              <c:idx val="20"/>
              <c:layout>
                <c:manualLayout>
                  <c:x val="-1.0166533393468803E-16"/>
                  <c:y val="-4.153146835360248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E3B-4440-A777-05EE9F6CD321}"/>
                </c:ext>
              </c:extLst>
            </c:dLbl>
            <c:dLbl>
              <c:idx val="21"/>
              <c:layout>
                <c:manualLayout>
                  <c:x val="0"/>
                  <c:y val="-4.61460759484472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E3B-4440-A777-05EE9F6CD321}"/>
                </c:ext>
              </c:extLst>
            </c:dLbl>
            <c:dLbl>
              <c:idx val="22"/>
              <c:layout>
                <c:manualLayout>
                  <c:x val="1.0166533393468803E-16"/>
                  <c:y val="-4.153146835360248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E3B-4440-A777-05EE9F6CD321}"/>
                </c:ext>
              </c:extLst>
            </c:dLbl>
            <c:dLbl>
              <c:idx val="23"/>
              <c:layout>
                <c:manualLayout>
                  <c:x val="0"/>
                  <c:y val="-3.691686075875776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E3B-4440-A777-05EE9F6CD3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PPT_G1!$A$2:$A$25</c:f>
              <c:strCache>
                <c:ptCount val="24"/>
                <c:pt idx="0">
                  <c:v>USA</c:v>
                </c:pt>
                <c:pt idx="1">
                  <c:v>Canada</c:v>
                </c:pt>
                <c:pt idx="2">
                  <c:v>Brazil</c:v>
                </c:pt>
                <c:pt idx="3">
                  <c:v>France</c:v>
                </c:pt>
                <c:pt idx="4">
                  <c:v>Germany</c:v>
                </c:pt>
                <c:pt idx="5">
                  <c:v>United Kingdom</c:v>
                </c:pt>
                <c:pt idx="6">
                  <c:v>Czech Republic</c:v>
                </c:pt>
                <c:pt idx="7">
                  <c:v>Portugal</c:v>
                </c:pt>
                <c:pt idx="8">
                  <c:v>India</c:v>
                </c:pt>
                <c:pt idx="9">
                  <c:v>Norway</c:v>
                </c:pt>
                <c:pt idx="10">
                  <c:v>Austria</c:v>
                </c:pt>
                <c:pt idx="11">
                  <c:v>Belgium</c:v>
                </c:pt>
                <c:pt idx="12">
                  <c:v>Denmark</c:v>
                </c:pt>
                <c:pt idx="13">
                  <c:v>Finland</c:v>
                </c:pt>
                <c:pt idx="14">
                  <c:v>Hungary</c:v>
                </c:pt>
                <c:pt idx="15">
                  <c:v>Ireland</c:v>
                </c:pt>
                <c:pt idx="16">
                  <c:v>Italy</c:v>
                </c:pt>
                <c:pt idx="17">
                  <c:v>Netherlands</c:v>
                </c:pt>
                <c:pt idx="18">
                  <c:v>Poland</c:v>
                </c:pt>
                <c:pt idx="19">
                  <c:v>Spain</c:v>
                </c:pt>
                <c:pt idx="20">
                  <c:v>Sweden</c:v>
                </c:pt>
                <c:pt idx="21">
                  <c:v>Australia</c:v>
                </c:pt>
                <c:pt idx="22">
                  <c:v>Argentina</c:v>
                </c:pt>
                <c:pt idx="23">
                  <c:v>Chile</c:v>
                </c:pt>
              </c:strCache>
            </c:strRef>
          </c:cat>
          <c:val>
            <c:numRef>
              <c:f>PPT_G1!$B$2:$B$25</c:f>
              <c:numCache>
                <c:formatCode>General</c:formatCode>
                <c:ptCount val="24"/>
                <c:pt idx="0">
                  <c:v>13</c:v>
                </c:pt>
                <c:pt idx="1">
                  <c:v>8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B-4440-A777-05EE9F6CD32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2644992"/>
        <c:axId val="1872662272"/>
      </c:barChart>
      <c:catAx>
        <c:axId val="187264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62272"/>
        <c:crosses val="autoZero"/>
        <c:auto val="1"/>
        <c:lblAlgn val="ctr"/>
        <c:lblOffset val="100"/>
        <c:noMultiLvlLbl val="0"/>
      </c:catAx>
      <c:valAx>
        <c:axId val="1872662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7264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Countries interms of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PPT_G2!$B$1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PPT_G2!$A$2:$A$11</c:f>
              <c:strCache>
                <c:ptCount val="10"/>
                <c:pt idx="0">
                  <c:v>USA</c:v>
                </c:pt>
                <c:pt idx="1">
                  <c:v>Canada</c:v>
                </c:pt>
                <c:pt idx="2">
                  <c:v>Brazil</c:v>
                </c:pt>
                <c:pt idx="3">
                  <c:v>France</c:v>
                </c:pt>
                <c:pt idx="4">
                  <c:v>Germany</c:v>
                </c:pt>
                <c:pt idx="5">
                  <c:v>Czech Republic</c:v>
                </c:pt>
                <c:pt idx="6">
                  <c:v>United Kingdom</c:v>
                </c:pt>
                <c:pt idx="7">
                  <c:v>Portugal</c:v>
                </c:pt>
                <c:pt idx="8">
                  <c:v>India</c:v>
                </c:pt>
                <c:pt idx="9">
                  <c:v>Ireland</c:v>
                </c:pt>
              </c:strCache>
            </c:strRef>
          </c:cat>
          <c:val>
            <c:numRef>
              <c:f>PPT_G2!$B$2:$B$11</c:f>
              <c:numCache>
                <c:formatCode>0.0</c:formatCode>
                <c:ptCount val="10"/>
                <c:pt idx="0">
                  <c:v>1040.49</c:v>
                </c:pt>
                <c:pt idx="1">
                  <c:v>535.59</c:v>
                </c:pt>
                <c:pt idx="2">
                  <c:v>427.68</c:v>
                </c:pt>
                <c:pt idx="3">
                  <c:v>389.07</c:v>
                </c:pt>
                <c:pt idx="4">
                  <c:v>334.62</c:v>
                </c:pt>
                <c:pt idx="5">
                  <c:v>273.24</c:v>
                </c:pt>
                <c:pt idx="6">
                  <c:v>245.52</c:v>
                </c:pt>
                <c:pt idx="7">
                  <c:v>185.13</c:v>
                </c:pt>
                <c:pt idx="8">
                  <c:v>183.15</c:v>
                </c:pt>
                <c:pt idx="9">
                  <c:v>114.84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1-4E96-AD0D-19A5D0667F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29633424"/>
        <c:axId val="1429634384"/>
        <c:axId val="0"/>
      </c:bar3DChart>
      <c:catAx>
        <c:axId val="142963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634384"/>
        <c:crosses val="autoZero"/>
        <c:auto val="1"/>
        <c:lblAlgn val="ctr"/>
        <c:lblOffset val="100"/>
        <c:noMultiLvlLbl val="0"/>
      </c:catAx>
      <c:valAx>
        <c:axId val="142963438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42963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Genres in USA in terms of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PPT_G3!$B$1</c:f>
              <c:strCache>
                <c:ptCount val="1"/>
                <c:pt idx="0">
                  <c:v>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PPT_G3!$A$2:$A$6</c:f>
              <c:strCache>
                <c:ptCount val="5"/>
                <c:pt idx="0">
                  <c:v>Rock</c:v>
                </c:pt>
                <c:pt idx="1">
                  <c:v>Alternative &amp; Punk</c:v>
                </c:pt>
                <c:pt idx="2">
                  <c:v>Metal</c:v>
                </c:pt>
                <c:pt idx="3">
                  <c:v>R&amp;B/Soul</c:v>
                </c:pt>
                <c:pt idx="4">
                  <c:v>Blues</c:v>
                </c:pt>
              </c:strCache>
            </c:strRef>
          </c:cat>
          <c:val>
            <c:numRef>
              <c:f>PPT_G3!$B$2:$B$6</c:f>
              <c:numCache>
                <c:formatCode>General</c:formatCode>
                <c:ptCount val="5"/>
                <c:pt idx="0">
                  <c:v>555.39</c:v>
                </c:pt>
                <c:pt idx="1">
                  <c:v>128.69999999999999</c:v>
                </c:pt>
                <c:pt idx="2">
                  <c:v>122.76</c:v>
                </c:pt>
                <c:pt idx="3">
                  <c:v>52.47</c:v>
                </c:pt>
                <c:pt idx="4">
                  <c:v>35.64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A-4F27-82F5-B182715AD2E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872636352"/>
        <c:axId val="1872637792"/>
      </c:barChart>
      <c:catAx>
        <c:axId val="187263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37792"/>
        <c:crosses val="autoZero"/>
        <c:auto val="1"/>
        <c:lblAlgn val="ctr"/>
        <c:lblOffset val="100"/>
        <c:noMultiLvlLbl val="0"/>
      </c:catAx>
      <c:valAx>
        <c:axId val="1872637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7263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</a:t>
            </a:r>
            <a:r>
              <a:rPr lang="en-IN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5 Artists in USA in terms of Revenue</a:t>
            </a:r>
            <a:endParaRPr lang="en-IN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PPT_G4!$B$1</c:f>
              <c:strCache>
                <c:ptCount val="1"/>
                <c:pt idx="0">
                  <c:v> total_revenue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PPT_G4!$A$2:$A$6</c:f>
              <c:strCache>
                <c:ptCount val="5"/>
                <c:pt idx="0">
                  <c:v>Van Halen</c:v>
                </c:pt>
                <c:pt idx="1">
                  <c:v>Eric Clapton</c:v>
                </c:pt>
                <c:pt idx="2">
                  <c:v>Nirvana</c:v>
                </c:pt>
                <c:pt idx="3">
                  <c:v>The Rolling Stones</c:v>
                </c:pt>
                <c:pt idx="4">
                  <c:v>Marvin Gaye</c:v>
                </c:pt>
              </c:strCache>
            </c:strRef>
          </c:cat>
          <c:val>
            <c:numRef>
              <c:f>PPT_G4!$B$2:$B$6</c:f>
              <c:numCache>
                <c:formatCode>General</c:formatCode>
                <c:ptCount val="5"/>
                <c:pt idx="0">
                  <c:v>525.69000000000005</c:v>
                </c:pt>
                <c:pt idx="1">
                  <c:v>434.61</c:v>
                </c:pt>
                <c:pt idx="2">
                  <c:v>424.71</c:v>
                </c:pt>
                <c:pt idx="3">
                  <c:v>398.97</c:v>
                </c:pt>
                <c:pt idx="4">
                  <c:v>387.09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7-4423-8956-9DE6418C854E}"/>
            </c:ext>
          </c:extLst>
        </c:ser>
        <c:ser>
          <c:idx val="1"/>
          <c:order val="1"/>
          <c:tx>
            <c:strRef>
              <c:f>PPT_G4!$C$1</c:f>
              <c:strCache>
                <c:ptCount val="1"/>
                <c:pt idx="0">
                  <c:v> total_purchases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PPT_G4!$A$2:$A$6</c:f>
              <c:strCache>
                <c:ptCount val="5"/>
                <c:pt idx="0">
                  <c:v>Van Halen</c:v>
                </c:pt>
                <c:pt idx="1">
                  <c:v>Eric Clapton</c:v>
                </c:pt>
                <c:pt idx="2">
                  <c:v>Nirvana</c:v>
                </c:pt>
                <c:pt idx="3">
                  <c:v>The Rolling Stones</c:v>
                </c:pt>
                <c:pt idx="4">
                  <c:v>Marvin Gaye</c:v>
                </c:pt>
              </c:strCache>
            </c:strRef>
          </c:cat>
          <c:val>
            <c:numRef>
              <c:f>PPT_G4!$C$2:$C$6</c:f>
              <c:numCache>
                <c:formatCode>General</c:formatCode>
                <c:ptCount val="5"/>
                <c:pt idx="0">
                  <c:v>43</c:v>
                </c:pt>
                <c:pt idx="1">
                  <c:v>34</c:v>
                </c:pt>
                <c:pt idx="2">
                  <c:v>35</c:v>
                </c:pt>
                <c:pt idx="3">
                  <c:v>37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77-4423-8956-9DE6418C8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72651712"/>
        <c:axId val="1872644512"/>
      </c:barChart>
      <c:catAx>
        <c:axId val="187265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72644512"/>
        <c:crosses val="autoZero"/>
        <c:auto val="1"/>
        <c:lblAlgn val="ctr"/>
        <c:lblOffset val="100"/>
        <c:noMultiLvlLbl val="0"/>
      </c:catAx>
      <c:valAx>
        <c:axId val="1872644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7265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tracks in USA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PPT_G5!$B$1</c:f>
              <c:strCache>
                <c:ptCount val="1"/>
                <c:pt idx="0">
                  <c:v> 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777777777777779E-3"/>
                  <c:y val="-0.3472222222222222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65-4F6B-9EEC-AC0D1C03BD60}"/>
                </c:ext>
              </c:extLst>
            </c:dLbl>
            <c:dLbl>
              <c:idx val="1"/>
              <c:layout>
                <c:manualLayout>
                  <c:x val="-2.7777777777777779E-3"/>
                  <c:y val="-0.2592592592592592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65-4F6B-9EEC-AC0D1C03BD60}"/>
                </c:ext>
              </c:extLst>
            </c:dLbl>
            <c:dLbl>
              <c:idx val="2"/>
              <c:layout>
                <c:manualLayout>
                  <c:x val="-1.0185067526415994E-16"/>
                  <c:y val="-0.2407407407407407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65-4F6B-9EEC-AC0D1C03BD60}"/>
                </c:ext>
              </c:extLst>
            </c:dLbl>
            <c:dLbl>
              <c:idx val="3"/>
              <c:layout>
                <c:manualLayout>
                  <c:x val="-2.7777777777777779E-3"/>
                  <c:y val="-0.231481481481481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65-4F6B-9EEC-AC0D1C03BD60}"/>
                </c:ext>
              </c:extLst>
            </c:dLbl>
            <c:dLbl>
              <c:idx val="4"/>
              <c:layout>
                <c:manualLayout>
                  <c:x val="0"/>
                  <c:y val="-0.2361111111111111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65-4F6B-9EEC-AC0D1C03B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PPT_G5!$A$2:$A$6</c:f>
              <c:strCache>
                <c:ptCount val="5"/>
                <c:pt idx="0">
                  <c:v>War Pigs</c:v>
                </c:pt>
                <c:pt idx="1">
                  <c:v>Scentless Apprentice</c:v>
                </c:pt>
                <c:pt idx="2">
                  <c:v>You Know I'm No Good</c:v>
                </c:pt>
                <c:pt idx="3">
                  <c:v>Night Of The Long Knives</c:v>
                </c:pt>
                <c:pt idx="4">
                  <c:v>I Looked At You</c:v>
                </c:pt>
              </c:strCache>
            </c:strRef>
          </c:cat>
          <c:val>
            <c:numRef>
              <c:f>PPT_G5!$B$2:$B$6</c:f>
              <c:numCache>
                <c:formatCode>General</c:formatCode>
                <c:ptCount val="5"/>
                <c:pt idx="0">
                  <c:v>62.37</c:v>
                </c:pt>
                <c:pt idx="1">
                  <c:v>44.55</c:v>
                </c:pt>
                <c:pt idx="2">
                  <c:v>38.61</c:v>
                </c:pt>
                <c:pt idx="3">
                  <c:v>37.619999999999997</c:v>
                </c:pt>
                <c:pt idx="4">
                  <c:v>37.619999999999997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5-4F6B-9EEC-AC0D1C03BD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872634912"/>
        <c:axId val="1872638272"/>
      </c:barChart>
      <c:catAx>
        <c:axId val="187263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72638272"/>
        <c:crosses val="autoZero"/>
        <c:auto val="1"/>
        <c:lblAlgn val="ctr"/>
        <c:lblOffset val="100"/>
        <c:noMultiLvlLbl val="0"/>
      </c:catAx>
      <c:valAx>
        <c:axId val="1872638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7263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gradFill flip="none" rotWithShape="1">
        <a:gsLst>
          <a:gs pos="0">
            <a:schemeClr val="accent6">
              <a:lumMod val="67000"/>
            </a:schemeClr>
          </a:gs>
          <a:gs pos="48000">
            <a:schemeClr val="accent6">
              <a:lumMod val="97000"/>
              <a:lumOff val="3000"/>
            </a:schemeClr>
          </a:gs>
          <a:gs pos="100000">
            <a:schemeClr val="accent6">
              <a:lumMod val="60000"/>
              <a:lumOff val="40000"/>
            </a:schemeClr>
          </a:gs>
        </a:gsLst>
        <a:lin ang="16200000" scaled="1"/>
        <a:tileRect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Customer</a:t>
            </a:r>
            <a:r>
              <a:rPr lang="en-US" baseline="0"/>
              <a:t> Churn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701421697287839"/>
          <c:y val="0.1711807378244386"/>
          <c:w val="0.417082895888014"/>
          <c:h val="0.69513815981335669"/>
        </c:manualLayout>
      </c:layout>
      <c:pieChart>
        <c:varyColors val="1"/>
        <c:ser>
          <c:idx val="0"/>
          <c:order val="0"/>
          <c:tx>
            <c:strRef>
              <c:f>PPT_G6!$B$1</c:f>
              <c:strCache>
                <c:ptCount val="1"/>
                <c:pt idx="0">
                  <c:v> total_chunk_customers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43-4D6C-8E9E-16D2ABF97D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343-4D6C-8E9E-16D2ABF97D64}"/>
              </c:ext>
            </c:extLst>
          </c:dPt>
          <c:dLbls>
            <c:dLbl>
              <c:idx val="0"/>
              <c:layout>
                <c:manualLayout>
                  <c:x val="-0.1154238845144358"/>
                  <c:y val="0.1141943715368912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43-4D6C-8E9E-16D2ABF97D64}"/>
                </c:ext>
              </c:extLst>
            </c:dLbl>
            <c:dLbl>
              <c:idx val="1"/>
              <c:layout>
                <c:manualLayout>
                  <c:x val="0.11542388451443565"/>
                  <c:y val="-0.1419721493146690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43-4D6C-8E9E-16D2ABF97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PPT_G6!$A$2:$A$3</c:f>
              <c:strCache>
                <c:ptCount val="2"/>
                <c:pt idx="0">
                  <c:v>Churned customer</c:v>
                </c:pt>
                <c:pt idx="1">
                  <c:v>Active customer</c:v>
                </c:pt>
              </c:strCache>
            </c:strRef>
          </c:cat>
          <c:val>
            <c:numRef>
              <c:f>PPT_G6!$B$2:$B$3</c:f>
              <c:numCache>
                <c:formatCode>General</c:formatCode>
                <c:ptCount val="2"/>
                <c:pt idx="0">
                  <c:v>16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3-4D6C-8E9E-16D2ABF97D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Recommanded Albums &amp; Genres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Subjective_Q1!$E$1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Subjective_Q1!$C$2:$D$6</c:f>
              <c:multiLvlStrCache>
                <c:ptCount val="5"/>
                <c:lvl>
                  <c:pt idx="0">
                    <c:v>Rock</c:v>
                  </c:pt>
                  <c:pt idx="1">
                    <c:v>Rock</c:v>
                  </c:pt>
                  <c:pt idx="2">
                    <c:v>Rock</c:v>
                  </c:pt>
                  <c:pt idx="3">
                    <c:v>R&amp;B/Soul</c:v>
                  </c:pt>
                  <c:pt idx="4">
                    <c:v>Alternative &amp; Punk</c:v>
                  </c:pt>
                </c:lvl>
                <c:lvl>
                  <c:pt idx="0">
                    <c:v>Are You Experienced?</c:v>
                  </c:pt>
                  <c:pt idx="1">
                    <c:v>From The Muddy Banks Of The Wishkah [live]</c:v>
                  </c:pt>
                  <c:pt idx="2">
                    <c:v>The Doors</c:v>
                  </c:pt>
                  <c:pt idx="3">
                    <c:v>Seek And Shall Find: More Of The Best (1963-1981)</c:v>
                  </c:pt>
                  <c:pt idx="4">
                    <c:v>Green</c:v>
                  </c:pt>
                </c:lvl>
              </c:multiLvlStrCache>
            </c:multiLvlStrRef>
          </c:cat>
          <c:val>
            <c:numRef>
              <c:f>Subjective_Q1!$E$2:$E$6</c:f>
              <c:numCache>
                <c:formatCode>General</c:formatCode>
                <c:ptCount val="5"/>
                <c:pt idx="0">
                  <c:v>27.72</c:v>
                </c:pt>
                <c:pt idx="1">
                  <c:v>27.72</c:v>
                </c:pt>
                <c:pt idx="2">
                  <c:v>26.73</c:v>
                </c:pt>
                <c:pt idx="3">
                  <c:v>25.74</c:v>
                </c:pt>
                <c:pt idx="4">
                  <c:v>24.75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4C-4AB9-8C7C-B3263E4A17E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936115248"/>
        <c:axId val="1936118128"/>
      </c:barChart>
      <c:catAx>
        <c:axId val="193611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118128"/>
        <c:crosses val="autoZero"/>
        <c:auto val="1"/>
        <c:lblAlgn val="ctr"/>
        <c:lblOffset val="100"/>
        <c:noMultiLvlLbl val="0"/>
      </c:catAx>
      <c:valAx>
        <c:axId val="1936118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611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effectLst/>
              </a:rPr>
              <a:t>Customer Purchasing Behaviour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Subjective_Q3!$A$2</c:f>
              <c:strCache>
                <c:ptCount val="1"/>
                <c:pt idx="0">
                  <c:v>Long-Term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Subjective_Q3!$B$1:$D$1</c:f>
              <c:strCache>
                <c:ptCount val="3"/>
                <c:pt idx="0">
                  <c:v> avg_purchase_frequency</c:v>
                </c:pt>
                <c:pt idx="1">
                  <c:v> avg_basket_size</c:v>
                </c:pt>
                <c:pt idx="2">
                  <c:v> avg_total_amount</c:v>
                </c:pt>
              </c:strCache>
            </c:strRef>
          </c:cat>
          <c:val>
            <c:numRef>
              <c:f>Subjective_Q3!$B$2:$D$2</c:f>
              <c:numCache>
                <c:formatCode>General</c:formatCode>
                <c:ptCount val="3"/>
                <c:pt idx="0">
                  <c:v>464</c:v>
                </c:pt>
                <c:pt idx="1">
                  <c:v>7.77</c:v>
                </c:pt>
                <c:pt idx="2">
                  <c:v>36163.71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5-487D-A056-ACF570030C09}"/>
            </c:ext>
          </c:extLst>
        </c:ser>
        <c:ser>
          <c:idx val="1"/>
          <c:order val="1"/>
          <c:tx>
            <c:strRef>
              <c:f>Subjective_Q3!$A$3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Subjective_Q3!$B$1:$D$1</c:f>
              <c:strCache>
                <c:ptCount val="3"/>
                <c:pt idx="0">
                  <c:v> avg_purchase_frequency</c:v>
                </c:pt>
                <c:pt idx="1">
                  <c:v> avg_basket_size</c:v>
                </c:pt>
                <c:pt idx="2">
                  <c:v> avg_total_amount</c:v>
                </c:pt>
              </c:strCache>
            </c:strRef>
          </c:cat>
          <c:val>
            <c:numRef>
              <c:f>Subjective_Q3!$B$3:$D$3</c:f>
              <c:numCache>
                <c:formatCode>General</c:formatCode>
                <c:ptCount val="3"/>
                <c:pt idx="0">
                  <c:v>150</c:v>
                </c:pt>
                <c:pt idx="1">
                  <c:v>7.67</c:v>
                </c:pt>
                <c:pt idx="2">
                  <c:v>11339.46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35-487D-A056-ACF570030C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29605104"/>
        <c:axId val="1429611344"/>
      </c:barChart>
      <c:catAx>
        <c:axId val="142960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611344"/>
        <c:crosses val="autoZero"/>
        <c:auto val="1"/>
        <c:lblAlgn val="ctr"/>
        <c:lblOffset val="100"/>
        <c:noMultiLvlLbl val="0"/>
      </c:catAx>
      <c:valAx>
        <c:axId val="142961134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2960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Customer Regional Market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PPT_G10!$B$1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PPT_G10!$A$2:$A$25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PPT_G10!$B$2:$B$25</c:f>
              <c:numCache>
                <c:formatCode>General</c:formatCode>
                <c:ptCount val="24"/>
                <c:pt idx="0">
                  <c:v>39.6</c:v>
                </c:pt>
                <c:pt idx="1">
                  <c:v>81.180000000000007</c:v>
                </c:pt>
                <c:pt idx="2">
                  <c:v>69.3</c:v>
                </c:pt>
                <c:pt idx="3">
                  <c:v>60.39</c:v>
                </c:pt>
                <c:pt idx="4">
                  <c:v>427.68</c:v>
                </c:pt>
                <c:pt idx="5">
                  <c:v>535.59</c:v>
                </c:pt>
                <c:pt idx="6">
                  <c:v>97.02</c:v>
                </c:pt>
                <c:pt idx="7">
                  <c:v>273.24</c:v>
                </c:pt>
                <c:pt idx="8">
                  <c:v>37.619999999999997</c:v>
                </c:pt>
                <c:pt idx="9">
                  <c:v>79.2</c:v>
                </c:pt>
                <c:pt idx="10">
                  <c:v>389.07</c:v>
                </c:pt>
                <c:pt idx="11">
                  <c:v>334.62</c:v>
                </c:pt>
                <c:pt idx="12">
                  <c:v>78.209999999999994</c:v>
                </c:pt>
                <c:pt idx="13">
                  <c:v>183.15</c:v>
                </c:pt>
                <c:pt idx="14">
                  <c:v>114.84</c:v>
                </c:pt>
                <c:pt idx="15">
                  <c:v>50.49</c:v>
                </c:pt>
                <c:pt idx="16">
                  <c:v>65.34</c:v>
                </c:pt>
                <c:pt idx="17">
                  <c:v>72.27</c:v>
                </c:pt>
                <c:pt idx="18">
                  <c:v>76.23</c:v>
                </c:pt>
                <c:pt idx="19">
                  <c:v>185.13</c:v>
                </c:pt>
                <c:pt idx="20">
                  <c:v>98.01</c:v>
                </c:pt>
                <c:pt idx="21">
                  <c:v>75.239999999999995</c:v>
                </c:pt>
                <c:pt idx="22">
                  <c:v>245.52</c:v>
                </c:pt>
                <c:pt idx="23">
                  <c:v>1040.49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4-4889-8DA8-44D59010874F}"/>
            </c:ext>
          </c:extLst>
        </c:ser>
        <c:ser>
          <c:idx val="1"/>
          <c:order val="1"/>
          <c:tx>
            <c:strRef>
              <c:f>PPT_G10!$C$1</c:f>
              <c:strCache>
                <c:ptCount val="1"/>
                <c:pt idx="0">
                  <c:v> total_orders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PPT_G10!$A$2:$A$25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PPT_G10!$C$2:$C$25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61</c:v>
                </c:pt>
                <c:pt idx="5">
                  <c:v>76</c:v>
                </c:pt>
                <c:pt idx="6">
                  <c:v>13</c:v>
                </c:pt>
                <c:pt idx="7">
                  <c:v>30</c:v>
                </c:pt>
                <c:pt idx="8">
                  <c:v>10</c:v>
                </c:pt>
                <c:pt idx="9">
                  <c:v>11</c:v>
                </c:pt>
                <c:pt idx="10">
                  <c:v>50</c:v>
                </c:pt>
                <c:pt idx="11">
                  <c:v>41</c:v>
                </c:pt>
                <c:pt idx="12">
                  <c:v>10</c:v>
                </c:pt>
                <c:pt idx="13">
                  <c:v>21</c:v>
                </c:pt>
                <c:pt idx="14">
                  <c:v>13</c:v>
                </c:pt>
                <c:pt idx="15">
                  <c:v>9</c:v>
                </c:pt>
                <c:pt idx="16">
                  <c:v>10</c:v>
                </c:pt>
                <c:pt idx="17">
                  <c:v>9</c:v>
                </c:pt>
                <c:pt idx="18">
                  <c:v>10</c:v>
                </c:pt>
                <c:pt idx="19">
                  <c:v>29</c:v>
                </c:pt>
                <c:pt idx="20">
                  <c:v>11</c:v>
                </c:pt>
                <c:pt idx="21">
                  <c:v>10</c:v>
                </c:pt>
                <c:pt idx="22">
                  <c:v>28</c:v>
                </c:pt>
                <c:pt idx="23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4-4889-8DA8-44D59010874F}"/>
            </c:ext>
          </c:extLst>
        </c:ser>
        <c:ser>
          <c:idx val="2"/>
          <c:order val="2"/>
          <c:tx>
            <c:strRef>
              <c:f>PPT_G10!$D$1</c:f>
              <c:strCache>
                <c:ptCount val="1"/>
                <c:pt idx="0">
                  <c:v> total_customers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PPT_G10!$A$2:$A$25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PPT_G10!$D$2:$D$25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8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A4-4889-8DA8-44D59010874F}"/>
            </c:ext>
          </c:extLst>
        </c:ser>
        <c:ser>
          <c:idx val="3"/>
          <c:order val="3"/>
          <c:tx>
            <c:strRef>
              <c:f>PPT_G10!$E$1</c:f>
              <c:strCache>
                <c:ptCount val="1"/>
                <c:pt idx="0">
                  <c:v> churn_percentage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PPT_G10!$A$2:$A$25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PPT_G10!$E$2:$E$25</c:f>
              <c:numCache>
                <c:formatCode>General</c:formatCode>
                <c:ptCount val="24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100</c:v>
                </c:pt>
                <c:pt idx="4">
                  <c:v>60</c:v>
                </c:pt>
                <c:pt idx="5">
                  <c:v>12.5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40</c:v>
                </c:pt>
                <c:pt idx="11">
                  <c:v>75</c:v>
                </c:pt>
                <c:pt idx="12">
                  <c:v>0</c:v>
                </c:pt>
                <c:pt idx="13">
                  <c:v>50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100</c:v>
                </c:pt>
                <c:pt idx="18">
                  <c:v>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33.33</c:v>
                </c:pt>
                <c:pt idx="23">
                  <c:v>23.08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A4-4889-8DA8-44D590108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1827488"/>
        <c:axId val="411827968"/>
      </c:barChart>
      <c:catAx>
        <c:axId val="41182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827968"/>
        <c:crosses val="autoZero"/>
        <c:auto val="1"/>
        <c:lblAlgn val="ctr"/>
        <c:lblOffset val="100"/>
        <c:noMultiLvlLbl val="0"/>
      </c:catAx>
      <c:valAx>
        <c:axId val="411827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827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[Chinook_excel.xlsx]Subjective_Q6!PivotTable3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Risk Profiling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Subjective_Q6!$J$4</c:f>
              <c:strCache>
                <c:ptCount val="1"/>
                <c:pt idx="0">
                  <c:v>Average of  total_spent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Subjective_Q6!$I$5:$I$7</c:f>
              <c:strCache>
                <c:ptCount val="2"/>
                <c:pt idx="0">
                  <c:v>High Risk</c:v>
                </c:pt>
                <c:pt idx="1">
                  <c:v>Low Risk</c:v>
                </c:pt>
              </c:strCache>
            </c:strRef>
          </c:cat>
          <c:val>
            <c:numRef>
              <c:f>Subjective_Q6!$J$5:$J$7</c:f>
              <c:numCache>
                <c:formatCode>0.0</c:formatCode>
                <c:ptCount val="2"/>
                <c:pt idx="0">
                  <c:v>72.930000000000021</c:v>
                </c:pt>
                <c:pt idx="1">
                  <c:v>82.676511627906976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7-4AA6-AC8F-9ACD16EE92A7}"/>
            </c:ext>
          </c:extLst>
        </c:ser>
        <c:ser>
          <c:idx val="1"/>
          <c:order val="1"/>
          <c:tx>
            <c:strRef>
              <c:f>Subjective_Q6!$K$4</c:f>
              <c:strCache>
                <c:ptCount val="1"/>
                <c:pt idx="0">
                  <c:v>Average of  total_orders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Subjective_Q6!$I$5:$I$7</c:f>
              <c:strCache>
                <c:ptCount val="2"/>
                <c:pt idx="0">
                  <c:v>High Risk</c:v>
                </c:pt>
                <c:pt idx="1">
                  <c:v>Low Risk</c:v>
                </c:pt>
              </c:strCache>
            </c:strRef>
          </c:cat>
          <c:val>
            <c:numRef>
              <c:f>Subjective_Q6!$K$5:$K$7</c:f>
              <c:numCache>
                <c:formatCode>0.0</c:formatCode>
                <c:ptCount val="2"/>
                <c:pt idx="0">
                  <c:v>9.1333333333333329</c:v>
                </c:pt>
                <c:pt idx="1">
                  <c:v>10.930232558139535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7-4AA6-AC8F-9ACD16EE92A7}"/>
            </c:ext>
          </c:extLst>
        </c:ser>
        <c:ser>
          <c:idx val="2"/>
          <c:order val="2"/>
          <c:tx>
            <c:strRef>
              <c:f>Subjective_Q6!$L$4</c:f>
              <c:strCache>
                <c:ptCount val="1"/>
                <c:pt idx="0">
                  <c:v>Average of  avg_order_amount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Subjective_Q6!$I$5:$I$7</c:f>
              <c:strCache>
                <c:ptCount val="2"/>
                <c:pt idx="0">
                  <c:v>High Risk</c:v>
                </c:pt>
                <c:pt idx="1">
                  <c:v>Low Risk</c:v>
                </c:pt>
              </c:strCache>
            </c:strRef>
          </c:cat>
          <c:val>
            <c:numRef>
              <c:f>Subjective_Q6!$L$5:$L$7</c:f>
              <c:numCache>
                <c:formatCode>0.0</c:formatCode>
                <c:ptCount val="2"/>
                <c:pt idx="0">
                  <c:v>8.1411718000000004</c:v>
                </c:pt>
                <c:pt idx="1">
                  <c:v>7.6022135581395354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87-4AA6-AC8F-9ACD16EE92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72623872"/>
        <c:axId val="1872624352"/>
      </c:barChart>
      <c:catAx>
        <c:axId val="187262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72624352"/>
        <c:crosses val="autoZero"/>
        <c:auto val="1"/>
        <c:lblAlgn val="ctr"/>
        <c:lblOffset val="100"/>
        <c:noMultiLvlLbl val="0"/>
      </c:catAx>
      <c:valAx>
        <c:axId val="1872624352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87262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[Chinook_excel.xlsx]Subjective_Q7!PivotTable4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atin typeface="Times New Roman" panose="02020603050405020304" pitchFamily="18" charset="0"/>
                <a:cs typeface="Times New Roman" panose="02020603050405020304" pitchFamily="18" charset="0"/>
              </a:rPr>
              <a:t>Customer Lifetime Value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6.1111111111111165E-2"/>
              <c:y val="4.1666666666666664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4.7222222222222221E-2"/>
              <c:y val="6.0185185185185182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8.3333333333332309E-3"/>
              <c:y val="-9.2592592592592587E-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8.3333333333332309E-3"/>
              <c:y val="-9.2592592592592587E-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4.7222222222222221E-2"/>
              <c:y val="6.0185185185185182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6.1111111111111165E-2"/>
              <c:y val="4.1666666666666664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8.3333333333332309E-3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1750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4.7222222222222221E-2"/>
              <c:y val="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1750" cap="rnd">
            <a:solidFill>
              <a:schemeClr val="accent3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6.1111111111111165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Subjective_Q7!$M$5</c:f>
              <c:strCache>
                <c:ptCount val="1"/>
                <c:pt idx="0">
                  <c:v>Sum of  total_orders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Subjective_Q7!$L$6:$L$8</c:f>
              <c:strCache>
                <c:ptCount val="2"/>
                <c:pt idx="0">
                  <c:v>Active customer</c:v>
                </c:pt>
                <c:pt idx="1">
                  <c:v>churned customer</c:v>
                </c:pt>
              </c:strCache>
            </c:strRef>
          </c:cat>
          <c:val>
            <c:numRef>
              <c:f>Subjective_Q7!$M$6:$M$8</c:f>
              <c:numCache>
                <c:formatCode>General</c:formatCode>
                <c:ptCount val="2"/>
                <c:pt idx="0">
                  <c:v>456</c:v>
                </c:pt>
                <c:pt idx="1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C-4F11-B5EC-A724ED17507A}"/>
            </c:ext>
          </c:extLst>
        </c:ser>
        <c:ser>
          <c:idx val="1"/>
          <c:order val="1"/>
          <c:tx>
            <c:strRef>
              <c:f>Subjective_Q7!$N$5</c:f>
              <c:strCache>
                <c:ptCount val="1"/>
                <c:pt idx="0">
                  <c:v>Sum of  total_spent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8.3333333333332309E-3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3C-4F11-B5EC-A724ED1750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Subjective_Q7!$L$6:$L$8</c:f>
              <c:strCache>
                <c:ptCount val="2"/>
                <c:pt idx="0">
                  <c:v>Active customer</c:v>
                </c:pt>
                <c:pt idx="1">
                  <c:v>churned customer</c:v>
                </c:pt>
              </c:strCache>
            </c:strRef>
          </c:cat>
          <c:val>
            <c:numRef>
              <c:f>Subjective_Q7!$N$6:$N$8</c:f>
              <c:numCache>
                <c:formatCode>General</c:formatCode>
                <c:ptCount val="2"/>
                <c:pt idx="0">
                  <c:v>3525.389999999999</c:v>
                </c:pt>
                <c:pt idx="1">
                  <c:v>1184.04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3C-4F11-B5EC-A724ED1750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72632992"/>
        <c:axId val="1872620032"/>
      </c:barChart>
      <c:lineChart>
        <c:grouping val="standard"/>
        <c:varyColors val="0"/>
        <c:ser>
          <c:idx val="2"/>
          <c:order val="2"/>
          <c:tx>
            <c:strRef>
              <c:f>Subjective_Q7!$O$5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7222222222222221E-2"/>
                  <c:y val="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3C-4F11-B5EC-A724ED17507A}"/>
                </c:ext>
              </c:extLst>
            </c:dLbl>
            <c:dLbl>
              <c:idx val="1"/>
              <c:layout>
                <c:manualLayout>
                  <c:x val="-6.1111111111111165E-2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3C-4F11-B5EC-A724ED1750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Subjective_Q7!$L$6:$L$8</c:f>
              <c:strCache>
                <c:ptCount val="2"/>
                <c:pt idx="0">
                  <c:v>Active customer</c:v>
                </c:pt>
                <c:pt idx="1">
                  <c:v>churned customer</c:v>
                </c:pt>
              </c:strCache>
            </c:strRef>
          </c:cat>
          <c:val>
            <c:numRef>
              <c:f>Subjective_Q7!$O$6:$O$8</c:f>
              <c:numCache>
                <c:formatCode>General</c:formatCode>
                <c:ptCount val="2"/>
                <c:pt idx="0">
                  <c:v>43</c:v>
                </c:pt>
                <c:pt idx="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3C-4F11-B5EC-A724ED1750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2614272"/>
        <c:axId val="1872631072"/>
      </c:lineChart>
      <c:catAx>
        <c:axId val="187261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72631072"/>
        <c:crosses val="autoZero"/>
        <c:auto val="1"/>
        <c:lblAlgn val="ctr"/>
        <c:lblOffset val="100"/>
        <c:noMultiLvlLbl val="0"/>
      </c:catAx>
      <c:valAx>
        <c:axId val="187263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14272"/>
        <c:crosses val="autoZero"/>
        <c:crossBetween val="between"/>
      </c:valAx>
      <c:valAx>
        <c:axId val="187262003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32992"/>
        <c:crosses val="max"/>
        <c:crossBetween val="between"/>
      </c:valAx>
      <c:catAx>
        <c:axId val="1872632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2620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643972</xdr:colOff>
      <xdr:row>1</xdr:row>
      <xdr:rowOff>344452</xdr:rowOff>
    </xdr:from>
    <xdr:to>
      <xdr:col>13</xdr:col>
      <xdr:colOff>590136</xdr:colOff>
      <xdr:row>10</xdr:row>
      <xdr:rowOff>7558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6483BB-3FF3-E51E-D2D1-A5A75E566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59531</xdr:colOff>
      <xdr:row>8</xdr:row>
      <xdr:rowOff>147637</xdr:rowOff>
    </xdr:from>
    <xdr:to>
      <xdr:col>6</xdr:col>
      <xdr:colOff>631031</xdr:colOff>
      <xdr:row>23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201934-BFB4-1D70-E486-186D93E8A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283369</xdr:colOff>
      <xdr:row>8</xdr:row>
      <xdr:rowOff>157163</xdr:rowOff>
    </xdr:from>
    <xdr:to>
      <xdr:col>15</xdr:col>
      <xdr:colOff>207169</xdr:colOff>
      <xdr:row>24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F93615-5E17-B5E0-2EA7-1A178682E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740568</xdr:colOff>
      <xdr:row>7</xdr:row>
      <xdr:rowOff>47625</xdr:rowOff>
    </xdr:from>
    <xdr:to>
      <xdr:col>10</xdr:col>
      <xdr:colOff>302418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A17961-7157-DE5C-3EA6-A58E5F233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545305</xdr:colOff>
      <xdr:row>8</xdr:row>
      <xdr:rowOff>57150</xdr:rowOff>
    </xdr:from>
    <xdr:to>
      <xdr:col>16</xdr:col>
      <xdr:colOff>519113</xdr:colOff>
      <xdr:row>21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7D388C-71B8-153A-0199-C27E46994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421480</xdr:colOff>
      <xdr:row>9</xdr:row>
      <xdr:rowOff>152400</xdr:rowOff>
    </xdr:from>
    <xdr:to>
      <xdr:col>11</xdr:col>
      <xdr:colOff>1235867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D2D151-7B84-42B2-0B12-445A59C63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516731</xdr:colOff>
      <xdr:row>13</xdr:row>
      <xdr:rowOff>80963</xdr:rowOff>
    </xdr:from>
    <xdr:to>
      <xdr:col>14</xdr:col>
      <xdr:colOff>912018</xdr:colOff>
      <xdr:row>28</xdr:row>
      <xdr:rowOff>109538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3ADBAC-39E4-7BEA-0BC6-8DC68959C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111918</xdr:colOff>
      <xdr:row>7</xdr:row>
      <xdr:rowOff>47625</xdr:rowOff>
    </xdr:from>
    <xdr:to>
      <xdr:col>13</xdr:col>
      <xdr:colOff>150018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DC6B18-94F3-67B6-8D65-1A1715AD7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411956</xdr:colOff>
      <xdr:row>7</xdr:row>
      <xdr:rowOff>47625</xdr:rowOff>
    </xdr:from>
    <xdr:to>
      <xdr:col>10</xdr:col>
      <xdr:colOff>450056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0F896-3947-F032-034A-330B1D46C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178593</xdr:colOff>
      <xdr:row>5</xdr:row>
      <xdr:rowOff>14287</xdr:rowOff>
    </xdr:from>
    <xdr:to>
      <xdr:col>11</xdr:col>
      <xdr:colOff>216693</xdr:colOff>
      <xdr:row>20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466A2-566F-FBBE-CAC2-39C6D67EC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673893</xdr:colOff>
      <xdr:row>7</xdr:row>
      <xdr:rowOff>47625</xdr:rowOff>
    </xdr:from>
    <xdr:to>
      <xdr:col>9</xdr:col>
      <xdr:colOff>378618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26CAE7-E618-2CB6-1879-6C89B7438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416718</xdr:colOff>
      <xdr:row>3</xdr:row>
      <xdr:rowOff>42862</xdr:rowOff>
    </xdr:from>
    <xdr:to>
      <xdr:col>10</xdr:col>
      <xdr:colOff>454818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AD7C45-45E9-D128-7FA3-37473D1C3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309562</xdr:colOff>
      <xdr:row>7</xdr:row>
      <xdr:rowOff>47625</xdr:rowOff>
    </xdr:from>
    <xdr:to>
      <xdr:col>10</xdr:col>
      <xdr:colOff>347662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E830C-7020-7218-04BB-D185D1BE6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433387</xdr:colOff>
      <xdr:row>3</xdr:row>
      <xdr:rowOff>71438</xdr:rowOff>
    </xdr:from>
    <xdr:to>
      <xdr:col>8</xdr:col>
      <xdr:colOff>374581</xdr:colOff>
      <xdr:row>19</xdr:row>
      <xdr:rowOff>109538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03900-52BA-43D2-A45C-2951E31A2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3</xdr:row>
      <xdr:rowOff>14287</xdr:rowOff>
    </xdr:from>
    <xdr:to>
      <xdr:col>7</xdr:col>
      <xdr:colOff>208976</xdr:colOff>
      <xdr:row>18</xdr:row>
      <xdr:rowOff>32995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84263B-A278-9B34-099D-7FB05C0FA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557212"/>
          <a:ext cx="4590476" cy="2733333"/>
        </a:xfrm>
        <a:prstGeom prst="rect">
          <a:avLst/>
        </a:prstGeom>
      </xdr:spPr>
    </xdr:pic>
    <xdr:clientData/>
  </xdr:twoCellAnchor>
  <xdr:twoCellAnchor editAs="oneCell">
    <xdr:from>
      <xdr:col>9</xdr:col>
      <xdr:colOff>271462</xdr:colOff>
      <xdr:row>3</xdr:row>
      <xdr:rowOff>33338</xdr:rowOff>
    </xdr:from>
    <xdr:to>
      <xdr:col>16</xdr:col>
      <xdr:colOff>337562</xdr:colOff>
      <xdr:row>18</xdr:row>
      <xdr:rowOff>52046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493B6E-1065-47B0-1BEC-CB210172D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0762" y="576263"/>
          <a:ext cx="4600000" cy="27333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300038</xdr:colOff>
      <xdr:row>7</xdr:row>
      <xdr:rowOff>28575</xdr:rowOff>
    </xdr:from>
    <xdr:to>
      <xdr:col>9</xdr:col>
      <xdr:colOff>353418</xdr:colOff>
      <xdr:row>22</xdr:row>
      <xdr:rowOff>21432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EA510-46B0-454E-A9E2-3B7D813FC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89580</xdr:colOff>
      <xdr:row>9</xdr:row>
      <xdr:rowOff>25965</xdr:rowOff>
    </xdr:from>
    <xdr:to>
      <xdr:col>22</xdr:col>
      <xdr:colOff>577746</xdr:colOff>
      <xdr:row>36</xdr:row>
      <xdr:rowOff>39035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8895C4-6637-CE44-6DAA-0D7C14BFF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3</xdr:row>
      <xdr:rowOff>166687</xdr:rowOff>
    </xdr:from>
    <xdr:to>
      <xdr:col>14</xdr:col>
      <xdr:colOff>507790</xdr:colOff>
      <xdr:row>18</xdr:row>
      <xdr:rowOff>175134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703B1C-567C-4CEB-AE53-E4E7EB676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442913</xdr:colOff>
      <xdr:row>4</xdr:row>
      <xdr:rowOff>95251</xdr:rowOff>
    </xdr:from>
    <xdr:to>
      <xdr:col>9</xdr:col>
      <xdr:colOff>481013</xdr:colOff>
      <xdr:row>19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B68C30-B894-4040-AB33-25EF4DD3E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ENDAR BHUPATHI" refreshedDate="46025.915305902781" createdVersion="8" refreshedVersion="8" minRefreshableVersion="3" recordCount="58" xr:uid="{52A718D8-23F9-4900-B977-C0DC4D2D9893}">
  <cacheSource type="worksheet">
    <worksheetSource ref="A1:F59" sheet="Subjective_Q6"/>
  </cacheSource>
  <cacheFields count="6">
    <cacheField name="customer_id" numFmtId="0">
      <sharedItems containsSemiMixedTypes="0" containsString="0" containsNumber="1" containsInteger="1" minValue="1" maxValue="59"/>
    </cacheField>
    <cacheField name=" country" numFmtId="0">
      <sharedItems/>
    </cacheField>
    <cacheField name=" total_spent" numFmtId="0">
      <sharedItems containsSemiMixedTypes="0" containsString="0" containsNumber="1" minValue="29.7" maxValue="144.54"/>
    </cacheField>
    <cacheField name=" total_orders" numFmtId="0">
      <sharedItems containsSemiMixedTypes="0" containsString="0" containsNumber="1" containsInteger="1" minValue="4" maxValue="18"/>
    </cacheField>
    <cacheField name=" avg_order_amount" numFmtId="0">
      <sharedItems containsSemiMixedTypes="0" containsString="0" containsNumber="1" minValue="2.97" maxValue="11.11"/>
    </cacheField>
    <cacheField name=" customer_status" numFmtId="0">
      <sharedItems count="2">
        <s v="High Risk"/>
        <s v="Low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ENDAR BHUPATHI" refreshedDate="46025.990257523146" createdVersion="8" refreshedVersion="8" minRefreshableVersion="3" recordCount="59" xr:uid="{B604902F-BE0D-481B-93A6-24FEF7B4BC06}">
  <cacheSource type="worksheet">
    <worksheetSource ref="A1:I60" sheet="Subjective_Q7"/>
  </cacheSource>
  <cacheFields count="9">
    <cacheField name="customer_id" numFmtId="0">
      <sharedItems containsSemiMixedTypes="0" containsString="0" containsNumber="1" containsInteger="1" minValue="1" maxValue="59"/>
    </cacheField>
    <cacheField name=" customer_full_name" numFmtId="0">
      <sharedItems/>
    </cacheField>
    <cacheField name=" first_purchase" numFmtId="14">
      <sharedItems containsSemiMixedTypes="0" containsNonDate="0" containsDate="1" containsString="0" minDate="2017-01-03T00:00:00" maxDate="2018-04-20T00:00:00"/>
    </cacheField>
    <cacheField name=" latest_purchase" numFmtId="14">
      <sharedItems containsSemiMixedTypes="0" containsNonDate="0" containsDate="1" containsString="0" minDate="2019-09-21T00:00:00" maxDate="2020-12-31T00:00:00"/>
    </cacheField>
    <cacheField name=" tenure" numFmtId="0">
      <sharedItems containsSemiMixedTypes="0" containsString="0" containsNumber="1" containsInteger="1" minValue="791" maxValue="1438"/>
    </cacheField>
    <cacheField name=" total_spent" numFmtId="0">
      <sharedItems containsSemiMixedTypes="0" containsString="0" containsNumber="1" minValue="29.7" maxValue="144.54"/>
    </cacheField>
    <cacheField name=" total_orders" numFmtId="0">
      <sharedItems containsSemiMixedTypes="0" containsString="0" containsNumber="1" containsInteger="1" minValue="4" maxValue="18"/>
    </cacheField>
    <cacheField name=" avg_order_amount" numFmtId="0">
      <sharedItems containsSemiMixedTypes="0" containsString="0" containsNumber="1" minValue="2.97" maxValue="11.11"/>
    </cacheField>
    <cacheField name=" customer_category" numFmtId="0">
      <sharedItems count="2">
        <s v="Active customer"/>
        <s v="churned custo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3"/>
    <s v="Canada"/>
    <n v="99.99"/>
    <n v="9"/>
    <n v="11.11"/>
    <x v="0"/>
  </r>
  <r>
    <n v="4"/>
    <s v="Norway"/>
    <n v="72.27"/>
    <n v="9"/>
    <n v="8.0299999999999994"/>
    <x v="0"/>
  </r>
  <r>
    <n v="9"/>
    <s v="Denmark"/>
    <n v="37.619999999999997"/>
    <n v="10"/>
    <n v="3.762"/>
    <x v="0"/>
  </r>
  <r>
    <n v="18"/>
    <s v="USA"/>
    <n v="79.2"/>
    <n v="8"/>
    <n v="9.9"/>
    <x v="0"/>
  </r>
  <r>
    <n v="20"/>
    <s v="USA"/>
    <n v="95.04"/>
    <n v="12"/>
    <n v="7.92"/>
    <x v="0"/>
  </r>
  <r>
    <n v="29"/>
    <s v="Canada"/>
    <n v="40.590000000000003"/>
    <n v="4"/>
    <n v="10.147500000000001"/>
    <x v="0"/>
  </r>
  <r>
    <n v="36"/>
    <s v="Germany"/>
    <n v="85.14"/>
    <n v="11"/>
    <n v="7.74"/>
    <x v="0"/>
  </r>
  <r>
    <n v="38"/>
    <s v="Germany"/>
    <n v="73.260000000000005"/>
    <n v="9"/>
    <n v="8.14"/>
    <x v="0"/>
  </r>
  <r>
    <n v="39"/>
    <s v="France"/>
    <n v="79.2"/>
    <n v="9"/>
    <n v="8.8000000000000007"/>
    <x v="0"/>
  </r>
  <r>
    <n v="40"/>
    <s v="France"/>
    <n v="72.27"/>
    <n v="9"/>
    <n v="8.0299999999999994"/>
    <x v="0"/>
  </r>
  <r>
    <n v="45"/>
    <s v="Hungary"/>
    <n v="78.209999999999994"/>
    <n v="10"/>
    <n v="7.8209999999999997"/>
    <x v="0"/>
  </r>
  <r>
    <n v="48"/>
    <s v="Netherlands"/>
    <n v="65.34"/>
    <n v="10"/>
    <n v="6.5339999999999998"/>
    <x v="0"/>
  </r>
  <r>
    <n v="54"/>
    <s v="United Kingdom"/>
    <n v="79.2"/>
    <n v="9"/>
    <n v="8.8000000000000007"/>
    <x v="0"/>
  </r>
  <r>
    <n v="56"/>
    <s v="Argentina"/>
    <n v="39.6"/>
    <n v="5"/>
    <n v="7.92"/>
    <x v="0"/>
  </r>
  <r>
    <n v="57"/>
    <s v="Chile"/>
    <n v="97.02"/>
    <n v="13"/>
    <n v="7.4630770000000002"/>
    <x v="0"/>
  </r>
  <r>
    <n v="1"/>
    <s v="Brazil"/>
    <n v="108.9"/>
    <n v="13"/>
    <n v="8.3769229999999997"/>
    <x v="1"/>
  </r>
  <r>
    <n v="2"/>
    <s v="Germany"/>
    <n v="82.17"/>
    <n v="11"/>
    <n v="7.47"/>
    <x v="1"/>
  </r>
  <r>
    <n v="5"/>
    <s v="Czech Republic"/>
    <n v="144.54"/>
    <n v="18"/>
    <n v="8.0299999999999994"/>
    <x v="1"/>
  </r>
  <r>
    <n v="6"/>
    <s v="Czech Republic"/>
    <n v="128.69999999999999"/>
    <n v="12"/>
    <n v="10.725"/>
    <x v="1"/>
  </r>
  <r>
    <n v="7"/>
    <s v="Austria"/>
    <n v="69.3"/>
    <n v="9"/>
    <n v="7.7"/>
    <x v="1"/>
  </r>
  <r>
    <n v="10"/>
    <s v="Brazil"/>
    <n v="60.39"/>
    <n v="12"/>
    <n v="5.0324999999999998"/>
    <x v="1"/>
  </r>
  <r>
    <n v="11"/>
    <s v="Brazil"/>
    <n v="69.3"/>
    <n v="10"/>
    <n v="6.93"/>
    <x v="1"/>
  </r>
  <r>
    <n v="12"/>
    <s v="Brazil"/>
    <n v="82.17"/>
    <n v="11"/>
    <n v="7.47"/>
    <x v="1"/>
  </r>
  <r>
    <n v="13"/>
    <s v="Brazil"/>
    <n v="106.92"/>
    <n v="15"/>
    <n v="7.1280000000000001"/>
    <x v="1"/>
  </r>
  <r>
    <n v="14"/>
    <s v="Canada"/>
    <n v="29.7"/>
    <n v="10"/>
    <n v="2.97"/>
    <x v="1"/>
  </r>
  <r>
    <n v="15"/>
    <s v="Canada"/>
    <n v="66.33"/>
    <n v="9"/>
    <n v="7.37"/>
    <x v="1"/>
  </r>
  <r>
    <n v="16"/>
    <s v="USA"/>
    <n v="74.25"/>
    <n v="8"/>
    <n v="9.28125"/>
    <x v="1"/>
  </r>
  <r>
    <n v="17"/>
    <s v="USA"/>
    <n v="98.01"/>
    <n v="12"/>
    <n v="8.1675000000000004"/>
    <x v="1"/>
  </r>
  <r>
    <n v="19"/>
    <s v="USA"/>
    <n v="54.45"/>
    <n v="9"/>
    <n v="6.05"/>
    <x v="1"/>
  </r>
  <r>
    <n v="21"/>
    <s v="USA"/>
    <n v="91.08"/>
    <n v="11"/>
    <n v="8.2799999999999994"/>
    <x v="1"/>
  </r>
  <r>
    <n v="22"/>
    <s v="USA"/>
    <n v="92.07"/>
    <n v="12"/>
    <n v="7.6725000000000003"/>
    <x v="1"/>
  </r>
  <r>
    <n v="23"/>
    <s v="USA"/>
    <n v="66.33"/>
    <n v="10"/>
    <n v="6.633"/>
    <x v="1"/>
  </r>
  <r>
    <n v="24"/>
    <s v="USA"/>
    <n v="71.28"/>
    <n v="8"/>
    <n v="8.91"/>
    <x v="1"/>
  </r>
  <r>
    <n v="25"/>
    <s v="USA"/>
    <n v="76.23"/>
    <n v="10"/>
    <n v="7.6230000000000002"/>
    <x v="1"/>
  </r>
  <r>
    <n v="26"/>
    <s v="USA"/>
    <n v="86.13"/>
    <n v="12"/>
    <n v="7.1775000000000002"/>
    <x v="1"/>
  </r>
  <r>
    <n v="27"/>
    <s v="USA"/>
    <n v="84.15"/>
    <n v="9"/>
    <n v="9.35"/>
    <x v="1"/>
  </r>
  <r>
    <n v="28"/>
    <s v="USA"/>
    <n v="72.27"/>
    <n v="10"/>
    <n v="7.2270000000000003"/>
    <x v="1"/>
  </r>
  <r>
    <n v="30"/>
    <s v="Canada"/>
    <n v="91.08"/>
    <n v="13"/>
    <n v="7.0061540000000004"/>
    <x v="1"/>
  </r>
  <r>
    <n v="31"/>
    <s v="Canada"/>
    <n v="62.37"/>
    <n v="11"/>
    <n v="5.67"/>
    <x v="1"/>
  </r>
  <r>
    <n v="32"/>
    <s v="Canada"/>
    <n v="70.290000000000006"/>
    <n v="8"/>
    <n v="8.7862500000000008"/>
    <x v="1"/>
  </r>
  <r>
    <n v="33"/>
    <s v="Canada"/>
    <n v="75.239999999999995"/>
    <n v="12"/>
    <n v="6.27"/>
    <x v="1"/>
  </r>
  <r>
    <n v="34"/>
    <s v="Portugal"/>
    <n v="102.96"/>
    <n v="13"/>
    <n v="7.92"/>
    <x v="1"/>
  </r>
  <r>
    <n v="35"/>
    <s v="Portugal"/>
    <n v="82.17"/>
    <n v="16"/>
    <n v="5.1356250000000001"/>
    <x v="1"/>
  </r>
  <r>
    <n v="37"/>
    <s v="Germany"/>
    <n v="94.05"/>
    <n v="10"/>
    <n v="9.4049999999999994"/>
    <x v="1"/>
  </r>
  <r>
    <n v="41"/>
    <s v="France"/>
    <n v="64.349999999999994"/>
    <n v="9"/>
    <n v="7.15"/>
    <x v="1"/>
  </r>
  <r>
    <n v="42"/>
    <s v="France"/>
    <n v="99.99"/>
    <n v="11"/>
    <n v="9.09"/>
    <x v="1"/>
  </r>
  <r>
    <n v="43"/>
    <s v="France"/>
    <n v="73.260000000000005"/>
    <n v="12"/>
    <n v="6.1050000000000004"/>
    <x v="1"/>
  </r>
  <r>
    <n v="44"/>
    <s v="Finland"/>
    <n v="79.2"/>
    <n v="11"/>
    <n v="7.2"/>
    <x v="1"/>
  </r>
  <r>
    <n v="46"/>
    <s v="Ireland"/>
    <n v="114.84"/>
    <n v="13"/>
    <n v="8.8338459999999994"/>
    <x v="1"/>
  </r>
  <r>
    <n v="47"/>
    <s v="Italy"/>
    <n v="50.49"/>
    <n v="9"/>
    <n v="5.61"/>
    <x v="1"/>
  </r>
  <r>
    <n v="49"/>
    <s v="Poland"/>
    <n v="76.23"/>
    <n v="10"/>
    <n v="7.6230000000000002"/>
    <x v="1"/>
  </r>
  <r>
    <n v="50"/>
    <s v="Spain"/>
    <n v="98.01"/>
    <n v="11"/>
    <n v="8.91"/>
    <x v="1"/>
  </r>
  <r>
    <n v="51"/>
    <s v="Sweden"/>
    <n v="75.239999999999995"/>
    <n v="10"/>
    <n v="7.524"/>
    <x v="1"/>
  </r>
  <r>
    <n v="52"/>
    <s v="United Kingdom"/>
    <n v="68.31"/>
    <n v="8"/>
    <n v="8.5387500000000003"/>
    <x v="1"/>
  </r>
  <r>
    <n v="53"/>
    <s v="United Kingdom"/>
    <n v="98.01"/>
    <n v="11"/>
    <n v="8.91"/>
    <x v="1"/>
  </r>
  <r>
    <n v="55"/>
    <s v="Australia"/>
    <n v="81.180000000000007"/>
    <n v="10"/>
    <n v="8.1180000000000003"/>
    <x v="1"/>
  </r>
  <r>
    <n v="58"/>
    <s v="India"/>
    <n v="111.87"/>
    <n v="13"/>
    <n v="8.6053850000000001"/>
    <x v="1"/>
  </r>
  <r>
    <n v="59"/>
    <s v="India"/>
    <n v="71.28"/>
    <n v="8"/>
    <n v="8.9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1"/>
    <s v="Luís Gonçalves"/>
    <d v="2017-01-26T00:00:00"/>
    <d v="2020-07-24T00:00:00"/>
    <n v="1275"/>
    <n v="108.9"/>
    <n v="13"/>
    <n v="8.3800000000000008"/>
    <x v="0"/>
  </r>
  <r>
    <n v="2"/>
    <s v="Leonie Köhler"/>
    <d v="2017-05-09T00:00:00"/>
    <d v="2020-11-21T00:00:00"/>
    <n v="1292"/>
    <n v="82.17"/>
    <n v="11"/>
    <n v="7.47"/>
    <x v="0"/>
  </r>
  <r>
    <n v="3"/>
    <s v="François Tremblay"/>
    <d v="2017-02-21T00:00:00"/>
    <d v="2020-05-16T00:00:00"/>
    <n v="1180"/>
    <n v="99.99"/>
    <n v="9"/>
    <n v="11.11"/>
    <x v="1"/>
  </r>
  <r>
    <n v="4"/>
    <s v="Bjørn Hansen"/>
    <d v="2017-02-10T00:00:00"/>
    <d v="2020-02-04T00:00:00"/>
    <n v="1089"/>
    <n v="72.27"/>
    <n v="9"/>
    <n v="8.0299999999999994"/>
    <x v="1"/>
  </r>
  <r>
    <n v="5"/>
    <s v="František Wichterlová"/>
    <d v="2017-05-29T00:00:00"/>
    <d v="2020-11-12T00:00:00"/>
    <n v="1263"/>
    <n v="144.54"/>
    <n v="18"/>
    <n v="8.0299999999999994"/>
    <x v="0"/>
  </r>
  <r>
    <n v="6"/>
    <s v="Helena Holý"/>
    <d v="2017-08-31T00:00:00"/>
    <d v="2020-10-23T00:00:00"/>
    <n v="1149"/>
    <n v="128.69999999999999"/>
    <n v="12"/>
    <n v="10.73"/>
    <x v="0"/>
  </r>
  <r>
    <n v="7"/>
    <s v="Astrid Gruber"/>
    <d v="2017-09-23T00:00:00"/>
    <d v="2020-08-26T00:00:00"/>
    <n v="1068"/>
    <n v="69.3"/>
    <n v="9"/>
    <n v="7.7"/>
    <x v="0"/>
  </r>
  <r>
    <n v="8"/>
    <s v="Daan Peeters"/>
    <d v="2017-07-22T00:00:00"/>
    <d v="2019-09-21T00:00:00"/>
    <n v="791"/>
    <n v="60.39"/>
    <n v="7"/>
    <n v="8.6300000000000008"/>
    <x v="1"/>
  </r>
  <r>
    <n v="9"/>
    <s v="Kara Nielsen"/>
    <d v="2017-02-07T00:00:00"/>
    <d v="2020-01-29T00:00:00"/>
    <n v="1086"/>
    <n v="37.619999999999997"/>
    <n v="10"/>
    <n v="3.76"/>
    <x v="1"/>
  </r>
  <r>
    <n v="10"/>
    <s v="Eduardo Martins"/>
    <d v="2017-02-06T00:00:00"/>
    <d v="2020-06-25T00:00:00"/>
    <n v="1235"/>
    <n v="60.39"/>
    <n v="12"/>
    <n v="5.03"/>
    <x v="1"/>
  </r>
  <r>
    <n v="11"/>
    <s v="Alexandre Rocha"/>
    <d v="2017-10-25T00:00:00"/>
    <d v="2020-06-24T00:00:00"/>
    <n v="973"/>
    <n v="69.3"/>
    <n v="10"/>
    <n v="6.93"/>
    <x v="1"/>
  </r>
  <r>
    <n v="12"/>
    <s v="Roberto Almeida"/>
    <d v="2017-02-17T00:00:00"/>
    <d v="2020-11-23T00:00:00"/>
    <n v="1375"/>
    <n v="82.17"/>
    <n v="11"/>
    <n v="7.47"/>
    <x v="0"/>
  </r>
  <r>
    <n v="13"/>
    <s v="Fernanda Ramos"/>
    <d v="2017-05-18T00:00:00"/>
    <d v="2020-11-28T00:00:00"/>
    <n v="1290"/>
    <n v="106.92"/>
    <n v="15"/>
    <n v="7.13"/>
    <x v="0"/>
  </r>
  <r>
    <n v="14"/>
    <s v="Mark Philips"/>
    <d v="2017-10-22T00:00:00"/>
    <d v="2020-12-20T00:00:00"/>
    <n v="1155"/>
    <n v="29.7"/>
    <n v="10"/>
    <n v="2.97"/>
    <x v="0"/>
  </r>
  <r>
    <n v="15"/>
    <s v="Jennifer Peterson"/>
    <d v="2017-04-24T00:00:00"/>
    <d v="2020-12-18T00:00:00"/>
    <n v="1334"/>
    <n v="66.33"/>
    <n v="9"/>
    <n v="7.37"/>
    <x v="0"/>
  </r>
  <r>
    <n v="16"/>
    <s v="Frank Harris"/>
    <d v="2017-04-29T00:00:00"/>
    <d v="2020-11-20T00:00:00"/>
    <n v="1301"/>
    <n v="74.25"/>
    <n v="8"/>
    <n v="9.2799999999999994"/>
    <x v="0"/>
  </r>
  <r>
    <n v="17"/>
    <s v="Jack Smith"/>
    <d v="2017-07-23T00:00:00"/>
    <d v="2020-09-11T00:00:00"/>
    <n v="1146"/>
    <n v="98.01"/>
    <n v="12"/>
    <n v="8.17"/>
    <x v="0"/>
  </r>
  <r>
    <n v="18"/>
    <s v="Michelle Brooks"/>
    <d v="2017-01-03T00:00:00"/>
    <d v="2020-03-05T00:00:00"/>
    <n v="1157"/>
    <n v="79.2"/>
    <n v="8"/>
    <n v="9.9"/>
    <x v="1"/>
  </r>
  <r>
    <n v="19"/>
    <s v="Tim Goyer"/>
    <d v="2017-03-18T00:00:00"/>
    <d v="2020-04-14T00:00:00"/>
    <n v="1123"/>
    <n v="54.45"/>
    <n v="9"/>
    <n v="6.05"/>
    <x v="1"/>
  </r>
  <r>
    <n v="20"/>
    <s v="Dan Miller"/>
    <d v="2017-01-28T00:00:00"/>
    <d v="2020-12-29T00:00:00"/>
    <n v="1431"/>
    <n v="95.04"/>
    <n v="12"/>
    <n v="7.92"/>
    <x v="0"/>
  </r>
  <r>
    <n v="21"/>
    <s v="Kathy Chase"/>
    <d v="2017-03-20T00:00:00"/>
    <d v="2020-12-09T00:00:00"/>
    <n v="1360"/>
    <n v="91.08"/>
    <n v="11"/>
    <n v="8.2799999999999994"/>
    <x v="0"/>
  </r>
  <r>
    <n v="22"/>
    <s v="Heather Leacock"/>
    <d v="2017-03-19T00:00:00"/>
    <d v="2020-10-30T00:00:00"/>
    <n v="1321"/>
    <n v="92.07"/>
    <n v="12"/>
    <n v="7.67"/>
    <x v="0"/>
  </r>
  <r>
    <n v="23"/>
    <s v="John Gordon"/>
    <d v="2017-11-03T00:00:00"/>
    <d v="2020-11-27T00:00:00"/>
    <n v="1120"/>
    <n v="66.33"/>
    <n v="10"/>
    <n v="6.63"/>
    <x v="0"/>
  </r>
  <r>
    <n v="24"/>
    <s v="Frank Ralston"/>
    <d v="2017-02-02T00:00:00"/>
    <d v="2020-10-25T00:00:00"/>
    <n v="1361"/>
    <n v="71.28"/>
    <n v="8"/>
    <n v="8.91"/>
    <x v="0"/>
  </r>
  <r>
    <n v="25"/>
    <s v="Victor Stevens"/>
    <d v="2017-01-23T00:00:00"/>
    <d v="2020-10-21T00:00:00"/>
    <n v="1367"/>
    <n v="76.23"/>
    <n v="10"/>
    <n v="7.62"/>
    <x v="0"/>
  </r>
  <r>
    <n v="26"/>
    <s v="Richard Cunningham"/>
    <d v="2017-04-13T00:00:00"/>
    <d v="2020-12-10T00:00:00"/>
    <n v="1337"/>
    <n v="86.13"/>
    <n v="12"/>
    <n v="7.18"/>
    <x v="0"/>
  </r>
  <r>
    <n v="27"/>
    <s v="Patrick Gray"/>
    <d v="2017-01-07T00:00:00"/>
    <d v="2020-10-16T00:00:00"/>
    <n v="1378"/>
    <n v="84.15"/>
    <n v="9"/>
    <n v="9.35"/>
    <x v="0"/>
  </r>
  <r>
    <n v="28"/>
    <s v="Julia Barnett"/>
    <d v="2017-09-10T00:00:00"/>
    <d v="2020-10-20T00:00:00"/>
    <n v="1136"/>
    <n v="72.27"/>
    <n v="10"/>
    <n v="7.23"/>
    <x v="0"/>
  </r>
  <r>
    <n v="29"/>
    <s v="Robert Brown"/>
    <d v="2017-09-19T00:00:00"/>
    <d v="2020-12-08T00:00:00"/>
    <n v="1176"/>
    <n v="40.590000000000003"/>
    <n v="4"/>
    <n v="10.15"/>
    <x v="0"/>
  </r>
  <r>
    <n v="30"/>
    <s v="Edward Francis"/>
    <d v="2017-01-03T00:00:00"/>
    <d v="2020-10-31T00:00:00"/>
    <n v="1397"/>
    <n v="91.08"/>
    <n v="13"/>
    <n v="7.01"/>
    <x v="0"/>
  </r>
  <r>
    <n v="31"/>
    <s v="Martha Silk"/>
    <d v="2017-01-10T00:00:00"/>
    <d v="2020-11-24T00:00:00"/>
    <n v="1414"/>
    <n v="62.37"/>
    <n v="11"/>
    <n v="5.67"/>
    <x v="0"/>
  </r>
  <r>
    <n v="32"/>
    <s v="Aaron Mitchell"/>
    <d v="2017-07-02T00:00:00"/>
    <d v="2020-10-26T00:00:00"/>
    <n v="1212"/>
    <n v="70.290000000000006"/>
    <n v="8"/>
    <n v="8.7899999999999991"/>
    <x v="0"/>
  </r>
  <r>
    <n v="33"/>
    <s v="Ellie Sullivan"/>
    <d v="2017-02-23T00:00:00"/>
    <d v="2020-12-27T00:00:00"/>
    <n v="1403"/>
    <n v="75.239999999999995"/>
    <n v="12"/>
    <n v="6.27"/>
    <x v="0"/>
  </r>
  <r>
    <n v="34"/>
    <s v="João Fernandes"/>
    <d v="2017-02-25T00:00:00"/>
    <d v="2020-10-13T00:00:00"/>
    <n v="1326"/>
    <n v="102.96"/>
    <n v="13"/>
    <n v="7.92"/>
    <x v="0"/>
  </r>
  <r>
    <n v="35"/>
    <s v="Madalena Sampaio"/>
    <d v="2017-01-22T00:00:00"/>
    <d v="2020-12-17T00:00:00"/>
    <n v="1425"/>
    <n v="82.17"/>
    <n v="16"/>
    <n v="5.14"/>
    <x v="0"/>
  </r>
  <r>
    <n v="36"/>
    <s v="Hannah Schneider"/>
    <d v="2017-03-24T00:00:00"/>
    <d v="2020-04-07T00:00:00"/>
    <n v="1110"/>
    <n v="85.14"/>
    <n v="11"/>
    <n v="7.74"/>
    <x v="1"/>
  </r>
  <r>
    <n v="37"/>
    <s v="Fynn Zimmermann"/>
    <d v="2017-03-13T00:00:00"/>
    <d v="2020-09-27T00:00:00"/>
    <n v="1294"/>
    <n v="94.05"/>
    <n v="10"/>
    <n v="9.41"/>
    <x v="0"/>
  </r>
  <r>
    <n v="38"/>
    <s v="Niklas Schröder"/>
    <d v="2017-01-20T00:00:00"/>
    <d v="2020-04-22T00:00:00"/>
    <n v="1188"/>
    <n v="73.260000000000005"/>
    <n v="9"/>
    <n v="8.14"/>
    <x v="1"/>
  </r>
  <r>
    <n v="39"/>
    <s v="Camille Bernard"/>
    <d v="2017-02-11T00:00:00"/>
    <d v="2020-04-11T00:00:00"/>
    <n v="1155"/>
    <n v="79.2"/>
    <n v="9"/>
    <n v="8.8000000000000007"/>
    <x v="1"/>
  </r>
  <r>
    <n v="40"/>
    <s v="Dominique Lefebvre"/>
    <d v="2017-01-05T00:00:00"/>
    <d v="2020-10-31T00:00:00"/>
    <n v="1395"/>
    <n v="72.27"/>
    <n v="9"/>
    <n v="8.0299999999999994"/>
    <x v="0"/>
  </r>
  <r>
    <n v="41"/>
    <s v="Marc Dubois"/>
    <d v="2018-01-09T00:00:00"/>
    <d v="2020-11-12T00:00:00"/>
    <n v="1038"/>
    <n v="64.349999999999994"/>
    <n v="9"/>
    <n v="7.15"/>
    <x v="0"/>
  </r>
  <r>
    <n v="42"/>
    <s v="Wyatt Girard"/>
    <d v="2017-01-21T00:00:00"/>
    <d v="2020-11-27T00:00:00"/>
    <n v="1406"/>
    <n v="99.99"/>
    <n v="11"/>
    <n v="9.09"/>
    <x v="0"/>
  </r>
  <r>
    <n v="43"/>
    <s v="Isabelle Mercier"/>
    <d v="2017-02-06T00:00:00"/>
    <d v="2020-05-02T00:00:00"/>
    <n v="1181"/>
    <n v="73.260000000000005"/>
    <n v="12"/>
    <n v="6.11"/>
    <x v="1"/>
  </r>
  <r>
    <n v="44"/>
    <s v="Terhi Hämäläinen"/>
    <d v="2017-01-25T00:00:00"/>
    <d v="2020-12-08T00:00:00"/>
    <n v="1413"/>
    <n v="79.2"/>
    <n v="11"/>
    <n v="7.2"/>
    <x v="0"/>
  </r>
  <r>
    <n v="45"/>
    <s v="Ladislav Kovács"/>
    <d v="2017-02-17T00:00:00"/>
    <d v="2020-10-19T00:00:00"/>
    <n v="1340"/>
    <n v="78.209999999999994"/>
    <n v="10"/>
    <n v="7.82"/>
    <x v="0"/>
  </r>
  <r>
    <n v="46"/>
    <s v="Hugh O'Reilly"/>
    <d v="2017-02-18T00:00:00"/>
    <d v="2020-12-12T00:00:00"/>
    <n v="1393"/>
    <n v="114.84"/>
    <n v="13"/>
    <n v="8.83"/>
    <x v="0"/>
  </r>
  <r>
    <n v="47"/>
    <s v="Lucas Mancini"/>
    <d v="2017-04-26T00:00:00"/>
    <d v="2020-10-06T00:00:00"/>
    <n v="1259"/>
    <n v="50.49"/>
    <n v="9"/>
    <n v="5.61"/>
    <x v="0"/>
  </r>
  <r>
    <n v="48"/>
    <s v="Johannes Van der Berg"/>
    <d v="2017-06-15T00:00:00"/>
    <d v="2020-04-27T00:00:00"/>
    <n v="1047"/>
    <n v="65.34"/>
    <n v="10"/>
    <n v="6.53"/>
    <x v="1"/>
  </r>
  <r>
    <n v="49"/>
    <s v="Stanisław Wójcik"/>
    <d v="2017-01-12T00:00:00"/>
    <d v="2020-12-20T00:00:00"/>
    <n v="1438"/>
    <n v="76.23"/>
    <n v="10"/>
    <n v="7.62"/>
    <x v="0"/>
  </r>
  <r>
    <n v="50"/>
    <s v="Enrique Muñoz"/>
    <d v="2017-03-17T00:00:00"/>
    <d v="2020-06-10T00:00:00"/>
    <n v="1181"/>
    <n v="98.01"/>
    <n v="11"/>
    <n v="8.91"/>
    <x v="1"/>
  </r>
  <r>
    <n v="51"/>
    <s v="Joakim Johansson"/>
    <d v="2017-02-27T00:00:00"/>
    <d v="2020-11-17T00:00:00"/>
    <n v="1359"/>
    <n v="75.239999999999995"/>
    <n v="10"/>
    <n v="7.52"/>
    <x v="0"/>
  </r>
  <r>
    <n v="52"/>
    <s v="Emma Jones"/>
    <d v="2017-04-25T00:00:00"/>
    <d v="2020-12-27T00:00:00"/>
    <n v="1342"/>
    <n v="68.31"/>
    <n v="8"/>
    <n v="8.5399999999999991"/>
    <x v="0"/>
  </r>
  <r>
    <n v="53"/>
    <s v="Phil Hughes"/>
    <d v="2017-02-09T00:00:00"/>
    <d v="2020-12-30T00:00:00"/>
    <n v="1420"/>
    <n v="98.01"/>
    <n v="11"/>
    <n v="8.91"/>
    <x v="0"/>
  </r>
  <r>
    <n v="54"/>
    <s v="Steve Murray"/>
    <d v="2017-08-19T00:00:00"/>
    <d v="2020-03-25T00:00:00"/>
    <n v="949"/>
    <n v="79.2"/>
    <n v="9"/>
    <n v="8.8000000000000007"/>
    <x v="1"/>
  </r>
  <r>
    <n v="55"/>
    <s v="Mark Taylor"/>
    <d v="2017-02-15T00:00:00"/>
    <d v="2020-12-21T00:00:00"/>
    <n v="1405"/>
    <n v="81.180000000000007"/>
    <n v="10"/>
    <n v="8.1199999999999992"/>
    <x v="0"/>
  </r>
  <r>
    <n v="56"/>
    <s v="Diego Gutiérrez"/>
    <d v="2018-04-19T00:00:00"/>
    <d v="2020-07-05T00:00:00"/>
    <n v="808"/>
    <n v="39.6"/>
    <n v="5"/>
    <n v="7.92"/>
    <x v="0"/>
  </r>
  <r>
    <n v="57"/>
    <s v="Luis Rojas"/>
    <d v="2017-03-25T00:00:00"/>
    <d v="2020-06-09T00:00:00"/>
    <n v="1172"/>
    <n v="97.02"/>
    <n v="13"/>
    <n v="7.46"/>
    <x v="1"/>
  </r>
  <r>
    <n v="58"/>
    <s v="Manoj Pareek"/>
    <d v="2017-02-21T00:00:00"/>
    <d v="2020-07-15T00:00:00"/>
    <n v="1240"/>
    <n v="111.87"/>
    <n v="13"/>
    <n v="8.61"/>
    <x v="0"/>
  </r>
  <r>
    <n v="59"/>
    <s v="Puja Srivastava"/>
    <d v="2017-01-13T00:00:00"/>
    <d v="2020-12-19T00:00:00"/>
    <n v="1436"/>
    <n v="71.28"/>
    <n v="8"/>
    <n v="8.9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92761-17AA-4C8A-8AFB-CE1BBAED3132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I4:L7" firstHeaderRow="0" firstDataRow="1" firstDataCol="1"/>
  <pivotFields count="6">
    <pivotField showAll="0"/>
    <pivotField showAll="0"/>
    <pivotField dataField="1" showAll="0"/>
    <pivotField dataField="1"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 total_spent" fld="2" subtotal="average" baseField="5" baseItem="0"/>
    <dataField name="Average of  total_orders" fld="3" subtotal="average" baseField="5" baseItem="0"/>
    <dataField name="Average of  avg_order_amount" fld="4" subtotal="average" baseField="5" baseItem="0"/>
  </dataFields>
  <formats count="1">
    <format dxfId="0">
      <pivotArea collapsedLevelsAreSubtotals="1" fieldPosition="0">
        <references count="1">
          <reference field="5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D0C74-8E12-47C1-B285-857298C21815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L5:O8" firstHeaderRow="0" firstDataRow="1" firstDataCol="1"/>
  <pivotFields count="9">
    <pivotField dataField="1" showAll="0"/>
    <pivotField showAll="0"/>
    <pivotField numFmtId="14" showAll="0"/>
    <pivotField numFmtId="14" showAll="0"/>
    <pivotField showAll="0"/>
    <pivotField dataField="1"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 total_orders" fld="6" baseField="0" baseItem="0"/>
    <dataField name="Sum of  total_spent" fld="5" baseField="0" baseItem="0"/>
    <dataField name="Count of customer_id" fld="0" subtotal="count" baseField="8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92" zoomScaleNormal="105" workbookViewId="0">
      <selection activeCell="E20" sqref="E20"/>
    </sheetView>
  </sheetViews>
  <sheetFormatPr defaultRowHeight="14.25" x14ac:dyDescent="0.45"/>
  <cols>
    <col min="1" max="1" width="8.06640625" bestFit="1" customWidth="1"/>
    <col min="2" max="2" width="12.265625" customWidth="1"/>
    <col min="3" max="3" width="13.59765625" customWidth="1"/>
    <col min="4" max="4" width="12.9296875" customWidth="1"/>
    <col min="5" max="5" width="9.19921875" bestFit="1" customWidth="1"/>
  </cols>
  <sheetData>
    <row r="1" spans="1:5" x14ac:dyDescent="0.45">
      <c r="A1" t="s">
        <v>18</v>
      </c>
      <c r="B1" t="s">
        <v>15</v>
      </c>
      <c r="C1" t="s">
        <v>14</v>
      </c>
      <c r="D1" t="s">
        <v>16</v>
      </c>
      <c r="E1" t="s">
        <v>17</v>
      </c>
    </row>
    <row r="2" spans="1:5" ht="28.5" x14ac:dyDescent="0.45">
      <c r="A2" s="1">
        <v>120</v>
      </c>
      <c r="B2" s="1" t="s">
        <v>1</v>
      </c>
      <c r="C2" s="1" t="s">
        <v>0</v>
      </c>
      <c r="D2" s="1" t="s">
        <v>2</v>
      </c>
      <c r="E2" s="1">
        <v>27.72</v>
      </c>
    </row>
    <row r="3" spans="1:5" ht="57" x14ac:dyDescent="0.45">
      <c r="A3" s="1">
        <v>163</v>
      </c>
      <c r="B3" s="1" t="s">
        <v>4</v>
      </c>
      <c r="C3" s="1" t="s">
        <v>3</v>
      </c>
      <c r="D3" s="1" t="s">
        <v>2</v>
      </c>
      <c r="E3" s="1">
        <v>27.72</v>
      </c>
    </row>
    <row r="4" spans="1:5" x14ac:dyDescent="0.45">
      <c r="A4" s="1">
        <v>214</v>
      </c>
      <c r="B4" s="1" t="s">
        <v>5</v>
      </c>
      <c r="C4" s="1" t="s">
        <v>5</v>
      </c>
      <c r="D4" s="1" t="s">
        <v>2</v>
      </c>
      <c r="E4" s="1">
        <v>26.73</v>
      </c>
    </row>
    <row r="5" spans="1:5" ht="57" x14ac:dyDescent="0.45">
      <c r="A5" s="1">
        <v>146</v>
      </c>
      <c r="B5" s="1" t="s">
        <v>7</v>
      </c>
      <c r="C5" s="1" t="s">
        <v>6</v>
      </c>
      <c r="D5" s="1" t="s">
        <v>8</v>
      </c>
      <c r="E5" s="1">
        <v>25.74</v>
      </c>
    </row>
    <row r="6" spans="1:5" ht="28.5" x14ac:dyDescent="0.45">
      <c r="A6" s="1">
        <v>188</v>
      </c>
      <c r="B6" s="1" t="s">
        <v>10</v>
      </c>
      <c r="C6" s="1" t="s">
        <v>9</v>
      </c>
      <c r="D6" s="1" t="s">
        <v>11</v>
      </c>
      <c r="E6" s="1">
        <v>24.75</v>
      </c>
    </row>
    <row r="7" spans="1:5" x14ac:dyDescent="0.45">
      <c r="A7" s="1"/>
      <c r="B7" s="1"/>
      <c r="C7" s="1"/>
      <c r="D7" s="1"/>
      <c r="E7" s="1"/>
    </row>
    <row r="8" spans="1:5" x14ac:dyDescent="0.45">
      <c r="A8" s="1"/>
      <c r="B8" s="1"/>
      <c r="C8" s="1"/>
      <c r="D8" s="1"/>
      <c r="E8" s="1"/>
    </row>
    <row r="9" spans="1:5" x14ac:dyDescent="0.45">
      <c r="A9" s="1"/>
      <c r="B9" s="1"/>
      <c r="C9" s="1"/>
      <c r="D9" s="1"/>
      <c r="E9" s="1"/>
    </row>
    <row r="10" spans="1:5" x14ac:dyDescent="0.45">
      <c r="A10" s="1"/>
      <c r="B10" s="1"/>
      <c r="C10" s="1"/>
      <c r="D10" s="1"/>
      <c r="E10" s="1"/>
    </row>
    <row r="11" spans="1:5" x14ac:dyDescent="0.45">
      <c r="A11" s="1"/>
      <c r="B11" s="1"/>
      <c r="C11" s="1"/>
      <c r="D11" s="1"/>
      <c r="E1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B0AC-C242-4B65-822E-A236D0FFD4BA}">
  <dimension ref="A1:L7"/>
  <sheetViews>
    <sheetView zoomScale="82" zoomScaleNormal="82" workbookViewId="0">
      <selection activeCell="H27" sqref="H27"/>
    </sheetView>
  </sheetViews>
  <sheetFormatPr defaultRowHeight="14.25" x14ac:dyDescent="0.45"/>
  <cols>
    <col min="2" max="2" width="10.53125" bestFit="1" customWidth="1"/>
    <col min="3" max="3" width="9.19921875" bestFit="1" customWidth="1"/>
    <col min="10" max="10" width="10.53125" bestFit="1" customWidth="1"/>
    <col min="11" max="11" width="9.19921875" bestFit="1" customWidth="1"/>
  </cols>
  <sheetData>
    <row r="1" spans="1:12" ht="15.75" x14ac:dyDescent="0.5">
      <c r="A1" s="3" t="s">
        <v>19</v>
      </c>
      <c r="B1" s="3"/>
      <c r="C1" s="3"/>
      <c r="D1" s="3"/>
      <c r="I1" s="3" t="s">
        <v>23</v>
      </c>
      <c r="J1" s="3"/>
      <c r="K1" s="3"/>
      <c r="L1" s="2"/>
    </row>
    <row r="2" spans="1:12" x14ac:dyDescent="0.45">
      <c r="A2" t="s">
        <v>22</v>
      </c>
      <c r="B2" t="s">
        <v>16</v>
      </c>
      <c r="C2" t="s">
        <v>17</v>
      </c>
      <c r="I2" t="s">
        <v>22</v>
      </c>
      <c r="J2" t="s">
        <v>16</v>
      </c>
      <c r="K2" t="s">
        <v>17</v>
      </c>
    </row>
    <row r="3" spans="1:12" x14ac:dyDescent="0.45">
      <c r="A3" s="1">
        <v>1</v>
      </c>
      <c r="B3" s="1" t="s">
        <v>2</v>
      </c>
      <c r="C3" s="1">
        <v>2053.2600000000002</v>
      </c>
      <c r="I3" s="1">
        <v>1</v>
      </c>
      <c r="J3" s="1" t="s">
        <v>2</v>
      </c>
      <c r="K3" s="1">
        <v>555.39</v>
      </c>
    </row>
    <row r="4" spans="1:12" ht="28.5" x14ac:dyDescent="0.45">
      <c r="A4" s="1">
        <v>3</v>
      </c>
      <c r="B4" s="1" t="s">
        <v>13</v>
      </c>
      <c r="C4" s="1">
        <v>490.05</v>
      </c>
      <c r="I4" s="1">
        <v>4</v>
      </c>
      <c r="J4" s="1" t="s">
        <v>11</v>
      </c>
      <c r="K4" s="1">
        <v>128.69999999999999</v>
      </c>
    </row>
    <row r="5" spans="1:12" ht="28.5" x14ac:dyDescent="0.45">
      <c r="A5" s="1">
        <v>4</v>
      </c>
      <c r="B5" s="1" t="s">
        <v>11</v>
      </c>
      <c r="C5" s="1">
        <v>358.38</v>
      </c>
      <c r="I5" s="1">
        <v>3</v>
      </c>
      <c r="J5" s="1" t="s">
        <v>13</v>
      </c>
      <c r="K5" s="1">
        <v>122.76</v>
      </c>
    </row>
    <row r="6" spans="1:12" x14ac:dyDescent="0.45">
      <c r="A6" s="1">
        <v>7</v>
      </c>
      <c r="B6" s="1" t="s">
        <v>20</v>
      </c>
      <c r="C6" s="1">
        <v>143.55000000000001</v>
      </c>
      <c r="I6" s="1">
        <v>14</v>
      </c>
      <c r="J6" s="1" t="s">
        <v>8</v>
      </c>
      <c r="K6" s="1">
        <v>52.47</v>
      </c>
    </row>
    <row r="7" spans="1:12" x14ac:dyDescent="0.45">
      <c r="A7" s="1">
        <v>2</v>
      </c>
      <c r="B7" s="1" t="s">
        <v>21</v>
      </c>
      <c r="C7" s="1">
        <v>105.93</v>
      </c>
      <c r="I7" s="1">
        <v>6</v>
      </c>
      <c r="J7" s="1" t="s">
        <v>12</v>
      </c>
      <c r="K7" s="1">
        <v>35.64</v>
      </c>
    </row>
  </sheetData>
  <mergeCells count="2">
    <mergeCell ref="A1:D1"/>
    <mergeCell ref="I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7D7D-791E-4125-96A6-B194A903C6AF}">
  <dimension ref="A1:D3"/>
  <sheetViews>
    <sheetView zoomScale="96" workbookViewId="0">
      <selection activeCell="N8" sqref="N8"/>
    </sheetView>
  </sheetViews>
  <sheetFormatPr defaultRowHeight="14.25" x14ac:dyDescent="0.45"/>
  <cols>
    <col min="1" max="1" width="15.86328125" bestFit="1" customWidth="1"/>
    <col min="2" max="2" width="20.796875" bestFit="1" customWidth="1"/>
    <col min="3" max="3" width="13.86328125" bestFit="1" customWidth="1"/>
    <col min="4" max="4" width="15.73046875" bestFit="1" customWidth="1"/>
  </cols>
  <sheetData>
    <row r="1" spans="1:4" x14ac:dyDescent="0.45">
      <c r="A1" t="s">
        <v>24</v>
      </c>
      <c r="B1" t="s">
        <v>25</v>
      </c>
      <c r="C1" t="s">
        <v>26</v>
      </c>
      <c r="D1" t="s">
        <v>27</v>
      </c>
    </row>
    <row r="2" spans="1:4" x14ac:dyDescent="0.45">
      <c r="A2" s="1" t="s">
        <v>28</v>
      </c>
      <c r="B2" s="1">
        <v>464</v>
      </c>
      <c r="C2" s="1">
        <v>7.77</v>
      </c>
      <c r="D2" s="1">
        <v>36163.71</v>
      </c>
    </row>
    <row r="3" spans="1:4" x14ac:dyDescent="0.45">
      <c r="A3" s="1" t="s">
        <v>29</v>
      </c>
      <c r="B3" s="1">
        <v>150</v>
      </c>
      <c r="C3" s="1">
        <v>7.67</v>
      </c>
      <c r="D3" s="1">
        <v>11339.46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582B-822D-466B-9D7B-DA51A4F39A5F}">
  <dimension ref="A1:F25"/>
  <sheetViews>
    <sheetView zoomScale="85" zoomScaleNormal="145" workbookViewId="0">
      <selection sqref="A1:F25"/>
    </sheetView>
  </sheetViews>
  <sheetFormatPr defaultRowHeight="14.25" x14ac:dyDescent="0.45"/>
  <cols>
    <col min="2" max="2" width="7.53125" bestFit="1" customWidth="1"/>
    <col min="3" max="3" width="16.265625" bestFit="1" customWidth="1"/>
    <col min="4" max="4" width="10.86328125" bestFit="1" customWidth="1"/>
    <col min="5" max="5" width="14" bestFit="1" customWidth="1"/>
    <col min="6" max="6" width="15.46484375" bestFit="1" customWidth="1"/>
  </cols>
  <sheetData>
    <row r="1" spans="1:6" x14ac:dyDescent="0.4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45">
      <c r="A2" s="1" t="s">
        <v>36</v>
      </c>
      <c r="B2" s="1">
        <v>39.6</v>
      </c>
      <c r="C2" s="1">
        <v>7.92</v>
      </c>
      <c r="D2" s="1">
        <v>5</v>
      </c>
      <c r="E2" s="1">
        <v>1</v>
      </c>
      <c r="F2" s="1">
        <v>100</v>
      </c>
    </row>
    <row r="3" spans="1:6" x14ac:dyDescent="0.45">
      <c r="A3" s="1" t="s">
        <v>37</v>
      </c>
      <c r="B3" s="1">
        <v>81.180000000000007</v>
      </c>
      <c r="C3" s="1">
        <v>8.1180000000000003</v>
      </c>
      <c r="D3" s="1">
        <v>10</v>
      </c>
      <c r="E3" s="1">
        <v>1</v>
      </c>
      <c r="F3" s="1">
        <v>0</v>
      </c>
    </row>
    <row r="4" spans="1:6" x14ac:dyDescent="0.45">
      <c r="A4" s="1" t="s">
        <v>38</v>
      </c>
      <c r="B4" s="1">
        <v>69.3</v>
      </c>
      <c r="C4" s="1">
        <v>7.7</v>
      </c>
      <c r="D4" s="1">
        <v>9</v>
      </c>
      <c r="E4" s="1">
        <v>1</v>
      </c>
      <c r="F4" s="1">
        <v>100</v>
      </c>
    </row>
    <row r="5" spans="1:6" x14ac:dyDescent="0.45">
      <c r="A5" s="1" t="s">
        <v>39</v>
      </c>
      <c r="B5" s="1">
        <v>60.39</v>
      </c>
      <c r="C5" s="1">
        <v>8.6271430000000002</v>
      </c>
      <c r="D5" s="1">
        <v>7</v>
      </c>
      <c r="E5" s="1">
        <v>1</v>
      </c>
      <c r="F5" s="1">
        <v>100</v>
      </c>
    </row>
    <row r="6" spans="1:6" x14ac:dyDescent="0.45">
      <c r="A6" s="1" t="s">
        <v>40</v>
      </c>
      <c r="B6" s="1">
        <v>427.68</v>
      </c>
      <c r="C6" s="1">
        <v>7.0111480000000004</v>
      </c>
      <c r="D6" s="1">
        <v>61</v>
      </c>
      <c r="E6" s="1">
        <v>5</v>
      </c>
      <c r="F6" s="1">
        <v>60</v>
      </c>
    </row>
    <row r="7" spans="1:6" x14ac:dyDescent="0.45">
      <c r="A7" s="1" t="s">
        <v>41</v>
      </c>
      <c r="B7" s="1">
        <v>535.59</v>
      </c>
      <c r="C7" s="1">
        <v>7.047237</v>
      </c>
      <c r="D7" s="1">
        <v>76</v>
      </c>
      <c r="E7" s="1">
        <v>8</v>
      </c>
      <c r="F7" s="1">
        <v>12.5</v>
      </c>
    </row>
    <row r="8" spans="1:6" x14ac:dyDescent="0.45">
      <c r="A8" s="1" t="s">
        <v>42</v>
      </c>
      <c r="B8" s="1">
        <v>97.02</v>
      </c>
      <c r="C8" s="1">
        <v>7.4630770000000002</v>
      </c>
      <c r="D8" s="1">
        <v>13</v>
      </c>
      <c r="E8" s="1">
        <v>1</v>
      </c>
      <c r="F8" s="1">
        <v>100</v>
      </c>
    </row>
    <row r="9" spans="1:6" ht="28.5" x14ac:dyDescent="0.45">
      <c r="A9" s="1" t="s">
        <v>43</v>
      </c>
      <c r="B9" s="1">
        <v>273.24</v>
      </c>
      <c r="C9" s="1">
        <v>9.1080000000000005</v>
      </c>
      <c r="D9" s="1">
        <v>30</v>
      </c>
      <c r="E9" s="1">
        <v>2</v>
      </c>
      <c r="F9" s="1">
        <v>0</v>
      </c>
    </row>
    <row r="10" spans="1:6" x14ac:dyDescent="0.45">
      <c r="A10" s="1" t="s">
        <v>44</v>
      </c>
      <c r="B10" s="1">
        <v>37.619999999999997</v>
      </c>
      <c r="C10" s="1">
        <v>3.762</v>
      </c>
      <c r="D10" s="1">
        <v>10</v>
      </c>
      <c r="E10" s="1">
        <v>1</v>
      </c>
      <c r="F10" s="1">
        <v>100</v>
      </c>
    </row>
    <row r="11" spans="1:6" x14ac:dyDescent="0.45">
      <c r="A11" s="1" t="s">
        <v>45</v>
      </c>
      <c r="B11" s="1">
        <v>79.2</v>
      </c>
      <c r="C11" s="1">
        <v>7.2</v>
      </c>
      <c r="D11" s="1">
        <v>11</v>
      </c>
      <c r="E11" s="1">
        <v>1</v>
      </c>
      <c r="F11" s="1">
        <v>0</v>
      </c>
    </row>
    <row r="12" spans="1:6" x14ac:dyDescent="0.45">
      <c r="A12" s="1" t="s">
        <v>46</v>
      </c>
      <c r="B12" s="1">
        <v>389.07</v>
      </c>
      <c r="C12" s="1">
        <v>7.7813999999999997</v>
      </c>
      <c r="D12" s="1">
        <v>50</v>
      </c>
      <c r="E12" s="1">
        <v>5</v>
      </c>
      <c r="F12" s="1">
        <v>40</v>
      </c>
    </row>
    <row r="13" spans="1:6" x14ac:dyDescent="0.45">
      <c r="A13" s="1" t="s">
        <v>47</v>
      </c>
      <c r="B13" s="1">
        <v>334.62</v>
      </c>
      <c r="C13" s="1">
        <v>8.1614629999999995</v>
      </c>
      <c r="D13" s="1">
        <v>41</v>
      </c>
      <c r="E13" s="1">
        <v>4</v>
      </c>
      <c r="F13" s="1">
        <v>75</v>
      </c>
    </row>
    <row r="14" spans="1:6" x14ac:dyDescent="0.45">
      <c r="A14" s="1" t="s">
        <v>48</v>
      </c>
      <c r="B14" s="1">
        <v>78.209999999999994</v>
      </c>
      <c r="C14" s="1">
        <v>7.8209999999999997</v>
      </c>
      <c r="D14" s="1">
        <v>10</v>
      </c>
      <c r="E14" s="1">
        <v>1</v>
      </c>
      <c r="F14" s="1">
        <v>0</v>
      </c>
    </row>
    <row r="15" spans="1:6" x14ac:dyDescent="0.45">
      <c r="A15" s="1" t="s">
        <v>49</v>
      </c>
      <c r="B15" s="1">
        <v>183.15</v>
      </c>
      <c r="C15" s="1">
        <v>8.7214290000000005</v>
      </c>
      <c r="D15" s="1">
        <v>21</v>
      </c>
      <c r="E15" s="1">
        <v>2</v>
      </c>
      <c r="F15" s="1">
        <v>50</v>
      </c>
    </row>
    <row r="16" spans="1:6" x14ac:dyDescent="0.45">
      <c r="A16" s="1" t="s">
        <v>50</v>
      </c>
      <c r="B16" s="1">
        <v>114.84</v>
      </c>
      <c r="C16" s="1">
        <v>8.8338459999999994</v>
      </c>
      <c r="D16" s="1">
        <v>13</v>
      </c>
      <c r="E16" s="1">
        <v>1</v>
      </c>
      <c r="F16" s="1">
        <v>0</v>
      </c>
    </row>
    <row r="17" spans="1:6" x14ac:dyDescent="0.45">
      <c r="A17" s="1" t="s">
        <v>51</v>
      </c>
      <c r="B17" s="1">
        <v>50.49</v>
      </c>
      <c r="C17" s="1">
        <v>5.61</v>
      </c>
      <c r="D17" s="1">
        <v>9</v>
      </c>
      <c r="E17" s="1">
        <v>1</v>
      </c>
      <c r="F17" s="1">
        <v>0</v>
      </c>
    </row>
    <row r="18" spans="1:6" ht="28.5" x14ac:dyDescent="0.45">
      <c r="A18" s="1" t="s">
        <v>52</v>
      </c>
      <c r="B18" s="1">
        <v>65.34</v>
      </c>
      <c r="C18" s="1">
        <v>6.5339999999999998</v>
      </c>
      <c r="D18" s="1">
        <v>10</v>
      </c>
      <c r="E18" s="1">
        <v>1</v>
      </c>
      <c r="F18" s="1">
        <v>100</v>
      </c>
    </row>
    <row r="19" spans="1:6" x14ac:dyDescent="0.45">
      <c r="A19" s="1" t="s">
        <v>53</v>
      </c>
      <c r="B19" s="1">
        <v>72.27</v>
      </c>
      <c r="C19" s="1">
        <v>8.0299999999999994</v>
      </c>
      <c r="D19" s="1">
        <v>9</v>
      </c>
      <c r="E19" s="1">
        <v>1</v>
      </c>
      <c r="F19" s="1">
        <v>100</v>
      </c>
    </row>
    <row r="20" spans="1:6" x14ac:dyDescent="0.45">
      <c r="A20" s="1" t="s">
        <v>54</v>
      </c>
      <c r="B20" s="1">
        <v>76.23</v>
      </c>
      <c r="C20" s="1">
        <v>7.6230000000000002</v>
      </c>
      <c r="D20" s="1">
        <v>10</v>
      </c>
      <c r="E20" s="1">
        <v>1</v>
      </c>
      <c r="F20" s="1">
        <v>0</v>
      </c>
    </row>
    <row r="21" spans="1:6" x14ac:dyDescent="0.45">
      <c r="A21" s="1" t="s">
        <v>55</v>
      </c>
      <c r="B21" s="1">
        <v>185.13</v>
      </c>
      <c r="C21" s="1">
        <v>6.3837929999999998</v>
      </c>
      <c r="D21" s="1">
        <v>29</v>
      </c>
      <c r="E21" s="1">
        <v>2</v>
      </c>
      <c r="F21" s="1">
        <v>0</v>
      </c>
    </row>
    <row r="22" spans="1:6" x14ac:dyDescent="0.45">
      <c r="A22" s="1" t="s">
        <v>56</v>
      </c>
      <c r="B22" s="1">
        <v>98.01</v>
      </c>
      <c r="C22" s="1">
        <v>8.91</v>
      </c>
      <c r="D22" s="1">
        <v>11</v>
      </c>
      <c r="E22" s="1">
        <v>1</v>
      </c>
      <c r="F22" s="1">
        <v>100</v>
      </c>
    </row>
    <row r="23" spans="1:6" x14ac:dyDescent="0.45">
      <c r="A23" s="1" t="s">
        <v>57</v>
      </c>
      <c r="B23" s="1">
        <v>75.239999999999995</v>
      </c>
      <c r="C23" s="1">
        <v>7.524</v>
      </c>
      <c r="D23" s="1">
        <v>10</v>
      </c>
      <c r="E23" s="1">
        <v>1</v>
      </c>
      <c r="F23" s="1">
        <v>0</v>
      </c>
    </row>
    <row r="24" spans="1:6" ht="28.5" x14ac:dyDescent="0.45">
      <c r="A24" s="1" t="s">
        <v>58</v>
      </c>
      <c r="B24" s="1">
        <v>245.52</v>
      </c>
      <c r="C24" s="1">
        <v>8.7685709999999997</v>
      </c>
      <c r="D24" s="1">
        <v>28</v>
      </c>
      <c r="E24" s="1">
        <v>3</v>
      </c>
      <c r="F24" s="1">
        <v>33.33</v>
      </c>
    </row>
    <row r="25" spans="1:6" x14ac:dyDescent="0.45">
      <c r="A25" s="1" t="s">
        <v>59</v>
      </c>
      <c r="B25" s="1">
        <v>1040.49</v>
      </c>
      <c r="C25" s="1">
        <v>7.942672</v>
      </c>
      <c r="D25" s="1">
        <v>131</v>
      </c>
      <c r="E25" s="1">
        <v>13</v>
      </c>
      <c r="F25" s="1">
        <v>23.08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D563-6EEA-4D28-A9E8-CA23EE8F684A}">
  <dimension ref="A1:L59"/>
  <sheetViews>
    <sheetView topLeftCell="F2" zoomScale="106" workbookViewId="0">
      <selection activeCell="G14" sqref="G14"/>
    </sheetView>
  </sheetViews>
  <sheetFormatPr defaultRowHeight="14.25" x14ac:dyDescent="0.45"/>
  <cols>
    <col min="1" max="1" width="10.46484375" bestFit="1" customWidth="1"/>
    <col min="2" max="2" width="19.1328125" customWidth="1"/>
    <col min="3" max="3" width="10.19921875" bestFit="1" customWidth="1"/>
    <col min="4" max="4" width="10.86328125" bestFit="1" customWidth="1"/>
    <col min="5" max="5" width="16.265625" bestFit="1" customWidth="1"/>
    <col min="6" max="6" width="14.265625" bestFit="1" customWidth="1"/>
    <col min="9" max="9" width="12.06640625" bestFit="1" customWidth="1"/>
    <col min="10" max="10" width="19.9296875" bestFit="1" customWidth="1"/>
    <col min="11" max="11" width="20.59765625" bestFit="1" customWidth="1"/>
    <col min="12" max="12" width="26.265625" bestFit="1" customWidth="1"/>
  </cols>
  <sheetData>
    <row r="1" spans="1:12" x14ac:dyDescent="0.45">
      <c r="A1" t="s">
        <v>60</v>
      </c>
      <c r="B1" t="s">
        <v>61</v>
      </c>
      <c r="C1" t="s">
        <v>62</v>
      </c>
      <c r="D1" t="s">
        <v>33</v>
      </c>
      <c r="E1" t="s">
        <v>32</v>
      </c>
      <c r="F1" t="s">
        <v>63</v>
      </c>
    </row>
    <row r="2" spans="1:12" x14ac:dyDescent="0.45">
      <c r="A2" s="1">
        <v>3</v>
      </c>
      <c r="B2" s="1" t="s">
        <v>41</v>
      </c>
      <c r="C2" s="1">
        <v>99.99</v>
      </c>
      <c r="D2" s="1">
        <v>9</v>
      </c>
      <c r="E2" s="1">
        <v>11.11</v>
      </c>
      <c r="F2" s="1" t="s">
        <v>64</v>
      </c>
    </row>
    <row r="3" spans="1:12" x14ac:dyDescent="0.45">
      <c r="A3" s="1">
        <v>4</v>
      </c>
      <c r="B3" s="1" t="s">
        <v>53</v>
      </c>
      <c r="C3" s="1">
        <v>72.27</v>
      </c>
      <c r="D3" s="1">
        <v>9</v>
      </c>
      <c r="E3" s="1">
        <v>8.0299999999999994</v>
      </c>
      <c r="F3" s="1" t="s">
        <v>64</v>
      </c>
    </row>
    <row r="4" spans="1:12" x14ac:dyDescent="0.45">
      <c r="A4" s="1">
        <v>9</v>
      </c>
      <c r="B4" s="1" t="s">
        <v>44</v>
      </c>
      <c r="C4" s="1">
        <v>37.619999999999997</v>
      </c>
      <c r="D4" s="1">
        <v>10</v>
      </c>
      <c r="E4" s="1">
        <v>3.762</v>
      </c>
      <c r="F4" s="1" t="s">
        <v>64</v>
      </c>
      <c r="I4" s="4" t="s">
        <v>66</v>
      </c>
      <c r="J4" t="s">
        <v>72</v>
      </c>
      <c r="K4" t="s">
        <v>71</v>
      </c>
      <c r="L4" t="s">
        <v>69</v>
      </c>
    </row>
    <row r="5" spans="1:12" x14ac:dyDescent="0.45">
      <c r="A5" s="1">
        <v>18</v>
      </c>
      <c r="B5" s="1" t="s">
        <v>59</v>
      </c>
      <c r="C5" s="1">
        <v>79.2</v>
      </c>
      <c r="D5" s="1">
        <v>8</v>
      </c>
      <c r="E5" s="1">
        <v>9.9</v>
      </c>
      <c r="F5" s="1" t="s">
        <v>64</v>
      </c>
      <c r="I5" s="5" t="s">
        <v>64</v>
      </c>
      <c r="J5" s="7">
        <v>72.930000000000021</v>
      </c>
      <c r="K5" s="7">
        <v>9.1333333333333329</v>
      </c>
      <c r="L5" s="7">
        <v>8.1411718000000004</v>
      </c>
    </row>
    <row r="6" spans="1:12" x14ac:dyDescent="0.45">
      <c r="A6" s="1">
        <v>20</v>
      </c>
      <c r="B6" s="1" t="s">
        <v>59</v>
      </c>
      <c r="C6" s="1">
        <v>95.04</v>
      </c>
      <c r="D6" s="1">
        <v>12</v>
      </c>
      <c r="E6" s="1">
        <v>7.92</v>
      </c>
      <c r="F6" s="1" t="s">
        <v>64</v>
      </c>
      <c r="I6" s="5" t="s">
        <v>65</v>
      </c>
      <c r="J6" s="7">
        <v>82.676511627906976</v>
      </c>
      <c r="K6" s="7">
        <v>10.930232558139535</v>
      </c>
      <c r="L6" s="7">
        <v>7.6022135581395354</v>
      </c>
    </row>
    <row r="7" spans="1:12" x14ac:dyDescent="0.45">
      <c r="A7" s="1">
        <v>29</v>
      </c>
      <c r="B7" s="1" t="s">
        <v>41</v>
      </c>
      <c r="C7" s="1">
        <v>40.590000000000003</v>
      </c>
      <c r="D7" s="1">
        <v>4</v>
      </c>
      <c r="E7" s="1">
        <v>10.147500000000001</v>
      </c>
      <c r="F7" s="1" t="s">
        <v>64</v>
      </c>
      <c r="I7" s="5" t="s">
        <v>67</v>
      </c>
      <c r="J7" s="6">
        <v>80.155862068965533</v>
      </c>
      <c r="K7" s="6">
        <v>10.46551724137931</v>
      </c>
      <c r="L7" s="6">
        <v>7.7415993103448288</v>
      </c>
    </row>
    <row r="8" spans="1:12" x14ac:dyDescent="0.45">
      <c r="A8" s="1">
        <v>36</v>
      </c>
      <c r="B8" s="1" t="s">
        <v>47</v>
      </c>
      <c r="C8" s="1">
        <v>85.14</v>
      </c>
      <c r="D8" s="1">
        <v>11</v>
      </c>
      <c r="E8" s="1">
        <v>7.74</v>
      </c>
      <c r="F8" s="1" t="s">
        <v>64</v>
      </c>
    </row>
    <row r="9" spans="1:12" x14ac:dyDescent="0.45">
      <c r="A9" s="1">
        <v>38</v>
      </c>
      <c r="B9" s="1" t="s">
        <v>47</v>
      </c>
      <c r="C9" s="1">
        <v>73.260000000000005</v>
      </c>
      <c r="D9" s="1">
        <v>9</v>
      </c>
      <c r="E9" s="1">
        <v>8.14</v>
      </c>
      <c r="F9" s="1" t="s">
        <v>64</v>
      </c>
    </row>
    <row r="10" spans="1:12" x14ac:dyDescent="0.45">
      <c r="A10" s="1">
        <v>39</v>
      </c>
      <c r="B10" s="1" t="s">
        <v>46</v>
      </c>
      <c r="C10" s="1">
        <v>79.2</v>
      </c>
      <c r="D10" s="1">
        <v>9</v>
      </c>
      <c r="E10" s="1">
        <v>8.8000000000000007</v>
      </c>
      <c r="F10" s="1" t="s">
        <v>64</v>
      </c>
    </row>
    <row r="11" spans="1:12" x14ac:dyDescent="0.45">
      <c r="A11" s="1">
        <v>40</v>
      </c>
      <c r="B11" s="1" t="s">
        <v>46</v>
      </c>
      <c r="C11" s="1">
        <v>72.27</v>
      </c>
      <c r="D11" s="1">
        <v>9</v>
      </c>
      <c r="E11" s="1">
        <v>8.0299999999999994</v>
      </c>
      <c r="F11" s="1" t="s">
        <v>64</v>
      </c>
    </row>
    <row r="12" spans="1:12" x14ac:dyDescent="0.45">
      <c r="A12" s="1">
        <v>45</v>
      </c>
      <c r="B12" s="1" t="s">
        <v>48</v>
      </c>
      <c r="C12" s="1">
        <v>78.209999999999994</v>
      </c>
      <c r="D12" s="1">
        <v>10</v>
      </c>
      <c r="E12" s="1">
        <v>7.8209999999999997</v>
      </c>
      <c r="F12" s="1" t="s">
        <v>64</v>
      </c>
    </row>
    <row r="13" spans="1:12" x14ac:dyDescent="0.45">
      <c r="A13" s="1">
        <v>48</v>
      </c>
      <c r="B13" s="1" t="s">
        <v>52</v>
      </c>
      <c r="C13" s="1">
        <v>65.34</v>
      </c>
      <c r="D13" s="1">
        <v>10</v>
      </c>
      <c r="E13" s="1">
        <v>6.5339999999999998</v>
      </c>
      <c r="F13" s="1" t="s">
        <v>64</v>
      </c>
    </row>
    <row r="14" spans="1:12" x14ac:dyDescent="0.45">
      <c r="A14" s="1">
        <v>54</v>
      </c>
      <c r="B14" s="1" t="s">
        <v>58</v>
      </c>
      <c r="C14" s="1">
        <v>79.2</v>
      </c>
      <c r="D14" s="1">
        <v>9</v>
      </c>
      <c r="E14" s="1">
        <v>8.8000000000000007</v>
      </c>
      <c r="F14" s="1" t="s">
        <v>64</v>
      </c>
    </row>
    <row r="15" spans="1:12" x14ac:dyDescent="0.45">
      <c r="A15" s="1">
        <v>56</v>
      </c>
      <c r="B15" s="1" t="s">
        <v>36</v>
      </c>
      <c r="C15" s="1">
        <v>39.6</v>
      </c>
      <c r="D15" s="1">
        <v>5</v>
      </c>
      <c r="E15" s="1">
        <v>7.92</v>
      </c>
      <c r="F15" s="1" t="s">
        <v>64</v>
      </c>
    </row>
    <row r="16" spans="1:12" x14ac:dyDescent="0.45">
      <c r="A16" s="1">
        <v>57</v>
      </c>
      <c r="B16" s="1" t="s">
        <v>42</v>
      </c>
      <c r="C16" s="1">
        <v>97.02</v>
      </c>
      <c r="D16" s="1">
        <v>13</v>
      </c>
      <c r="E16" s="1">
        <v>7.4630770000000002</v>
      </c>
      <c r="F16" s="1" t="s">
        <v>64</v>
      </c>
    </row>
    <row r="17" spans="1:6" x14ac:dyDescent="0.45">
      <c r="A17" s="1">
        <v>1</v>
      </c>
      <c r="B17" s="1" t="s">
        <v>40</v>
      </c>
      <c r="C17" s="1">
        <v>108.9</v>
      </c>
      <c r="D17" s="1">
        <v>13</v>
      </c>
      <c r="E17" s="1">
        <v>8.3769229999999997</v>
      </c>
      <c r="F17" s="1" t="s">
        <v>65</v>
      </c>
    </row>
    <row r="18" spans="1:6" x14ac:dyDescent="0.45">
      <c r="A18" s="1">
        <v>2</v>
      </c>
      <c r="B18" s="1" t="s">
        <v>47</v>
      </c>
      <c r="C18" s="1">
        <v>82.17</v>
      </c>
      <c r="D18" s="1">
        <v>11</v>
      </c>
      <c r="E18" s="1">
        <v>7.47</v>
      </c>
      <c r="F18" s="1" t="s">
        <v>65</v>
      </c>
    </row>
    <row r="19" spans="1:6" x14ac:dyDescent="0.45">
      <c r="A19" s="1">
        <v>5</v>
      </c>
      <c r="B19" s="1" t="s">
        <v>43</v>
      </c>
      <c r="C19" s="1">
        <v>144.54</v>
      </c>
      <c r="D19" s="1">
        <v>18</v>
      </c>
      <c r="E19" s="1">
        <v>8.0299999999999994</v>
      </c>
      <c r="F19" s="1" t="s">
        <v>65</v>
      </c>
    </row>
    <row r="20" spans="1:6" x14ac:dyDescent="0.45">
      <c r="A20" s="1">
        <v>6</v>
      </c>
      <c r="B20" s="1" t="s">
        <v>43</v>
      </c>
      <c r="C20" s="1">
        <v>128.69999999999999</v>
      </c>
      <c r="D20" s="1">
        <v>12</v>
      </c>
      <c r="E20" s="1">
        <v>10.725</v>
      </c>
      <c r="F20" s="1" t="s">
        <v>65</v>
      </c>
    </row>
    <row r="21" spans="1:6" x14ac:dyDescent="0.45">
      <c r="A21" s="1">
        <v>7</v>
      </c>
      <c r="B21" s="1" t="s">
        <v>38</v>
      </c>
      <c r="C21" s="1">
        <v>69.3</v>
      </c>
      <c r="D21" s="1">
        <v>9</v>
      </c>
      <c r="E21" s="1">
        <v>7.7</v>
      </c>
      <c r="F21" s="1" t="s">
        <v>65</v>
      </c>
    </row>
    <row r="22" spans="1:6" x14ac:dyDescent="0.45">
      <c r="A22" s="1">
        <v>10</v>
      </c>
      <c r="B22" s="1" t="s">
        <v>40</v>
      </c>
      <c r="C22" s="1">
        <v>60.39</v>
      </c>
      <c r="D22" s="1">
        <v>12</v>
      </c>
      <c r="E22" s="1">
        <v>5.0324999999999998</v>
      </c>
      <c r="F22" s="1" t="s">
        <v>65</v>
      </c>
    </row>
    <row r="23" spans="1:6" x14ac:dyDescent="0.45">
      <c r="A23" s="1">
        <v>11</v>
      </c>
      <c r="B23" s="1" t="s">
        <v>40</v>
      </c>
      <c r="C23" s="1">
        <v>69.3</v>
      </c>
      <c r="D23" s="1">
        <v>10</v>
      </c>
      <c r="E23" s="1">
        <v>6.93</v>
      </c>
      <c r="F23" s="1" t="s">
        <v>65</v>
      </c>
    </row>
    <row r="24" spans="1:6" x14ac:dyDescent="0.45">
      <c r="A24" s="1">
        <v>12</v>
      </c>
      <c r="B24" s="1" t="s">
        <v>40</v>
      </c>
      <c r="C24" s="1">
        <v>82.17</v>
      </c>
      <c r="D24" s="1">
        <v>11</v>
      </c>
      <c r="E24" s="1">
        <v>7.47</v>
      </c>
      <c r="F24" s="1" t="s">
        <v>65</v>
      </c>
    </row>
    <row r="25" spans="1:6" x14ac:dyDescent="0.45">
      <c r="A25" s="1">
        <v>13</v>
      </c>
      <c r="B25" s="1" t="s">
        <v>40</v>
      </c>
      <c r="C25" s="1">
        <v>106.92</v>
      </c>
      <c r="D25" s="1">
        <v>15</v>
      </c>
      <c r="E25" s="1">
        <v>7.1280000000000001</v>
      </c>
      <c r="F25" s="1" t="s">
        <v>65</v>
      </c>
    </row>
    <row r="26" spans="1:6" x14ac:dyDescent="0.45">
      <c r="A26" s="1">
        <v>14</v>
      </c>
      <c r="B26" s="1" t="s">
        <v>41</v>
      </c>
      <c r="C26" s="1">
        <v>29.7</v>
      </c>
      <c r="D26" s="1">
        <v>10</v>
      </c>
      <c r="E26" s="1">
        <v>2.97</v>
      </c>
      <c r="F26" s="1" t="s">
        <v>65</v>
      </c>
    </row>
    <row r="27" spans="1:6" x14ac:dyDescent="0.45">
      <c r="A27" s="1">
        <v>15</v>
      </c>
      <c r="B27" s="1" t="s">
        <v>41</v>
      </c>
      <c r="C27" s="1">
        <v>66.33</v>
      </c>
      <c r="D27" s="1">
        <v>9</v>
      </c>
      <c r="E27" s="1">
        <v>7.37</v>
      </c>
      <c r="F27" s="1" t="s">
        <v>65</v>
      </c>
    </row>
    <row r="28" spans="1:6" x14ac:dyDescent="0.45">
      <c r="A28" s="1">
        <v>16</v>
      </c>
      <c r="B28" s="1" t="s">
        <v>59</v>
      </c>
      <c r="C28" s="1">
        <v>74.25</v>
      </c>
      <c r="D28" s="1">
        <v>8</v>
      </c>
      <c r="E28" s="1">
        <v>9.28125</v>
      </c>
      <c r="F28" s="1" t="s">
        <v>65</v>
      </c>
    </row>
    <row r="29" spans="1:6" x14ac:dyDescent="0.45">
      <c r="A29" s="1">
        <v>17</v>
      </c>
      <c r="B29" s="1" t="s">
        <v>59</v>
      </c>
      <c r="C29" s="1">
        <v>98.01</v>
      </c>
      <c r="D29" s="1">
        <v>12</v>
      </c>
      <c r="E29" s="1">
        <v>8.1675000000000004</v>
      </c>
      <c r="F29" s="1" t="s">
        <v>65</v>
      </c>
    </row>
    <row r="30" spans="1:6" x14ac:dyDescent="0.45">
      <c r="A30" s="1">
        <v>19</v>
      </c>
      <c r="B30" s="1" t="s">
        <v>59</v>
      </c>
      <c r="C30" s="1">
        <v>54.45</v>
      </c>
      <c r="D30" s="1">
        <v>9</v>
      </c>
      <c r="E30" s="1">
        <v>6.05</v>
      </c>
      <c r="F30" s="1" t="s">
        <v>65</v>
      </c>
    </row>
    <row r="31" spans="1:6" x14ac:dyDescent="0.45">
      <c r="A31" s="1">
        <v>21</v>
      </c>
      <c r="B31" s="1" t="s">
        <v>59</v>
      </c>
      <c r="C31" s="1">
        <v>91.08</v>
      </c>
      <c r="D31" s="1">
        <v>11</v>
      </c>
      <c r="E31" s="1">
        <v>8.2799999999999994</v>
      </c>
      <c r="F31" s="1" t="s">
        <v>65</v>
      </c>
    </row>
    <row r="32" spans="1:6" x14ac:dyDescent="0.45">
      <c r="A32" s="1">
        <v>22</v>
      </c>
      <c r="B32" s="1" t="s">
        <v>59</v>
      </c>
      <c r="C32" s="1">
        <v>92.07</v>
      </c>
      <c r="D32" s="1">
        <v>12</v>
      </c>
      <c r="E32" s="1">
        <v>7.6725000000000003</v>
      </c>
      <c r="F32" s="1" t="s">
        <v>65</v>
      </c>
    </row>
    <row r="33" spans="1:6" x14ac:dyDescent="0.45">
      <c r="A33" s="1">
        <v>23</v>
      </c>
      <c r="B33" s="1" t="s">
        <v>59</v>
      </c>
      <c r="C33" s="1">
        <v>66.33</v>
      </c>
      <c r="D33" s="1">
        <v>10</v>
      </c>
      <c r="E33" s="1">
        <v>6.633</v>
      </c>
      <c r="F33" s="1" t="s">
        <v>65</v>
      </c>
    </row>
    <row r="34" spans="1:6" x14ac:dyDescent="0.45">
      <c r="A34" s="1">
        <v>24</v>
      </c>
      <c r="B34" s="1" t="s">
        <v>59</v>
      </c>
      <c r="C34" s="1">
        <v>71.28</v>
      </c>
      <c r="D34" s="1">
        <v>8</v>
      </c>
      <c r="E34" s="1">
        <v>8.91</v>
      </c>
      <c r="F34" s="1" t="s">
        <v>65</v>
      </c>
    </row>
    <row r="35" spans="1:6" x14ac:dyDescent="0.45">
      <c r="A35" s="1">
        <v>25</v>
      </c>
      <c r="B35" s="1" t="s">
        <v>59</v>
      </c>
      <c r="C35" s="1">
        <v>76.23</v>
      </c>
      <c r="D35" s="1">
        <v>10</v>
      </c>
      <c r="E35" s="1">
        <v>7.6230000000000002</v>
      </c>
      <c r="F35" s="1" t="s">
        <v>65</v>
      </c>
    </row>
    <row r="36" spans="1:6" x14ac:dyDescent="0.45">
      <c r="A36" s="1">
        <v>26</v>
      </c>
      <c r="B36" s="1" t="s">
        <v>59</v>
      </c>
      <c r="C36" s="1">
        <v>86.13</v>
      </c>
      <c r="D36" s="1">
        <v>12</v>
      </c>
      <c r="E36" s="1">
        <v>7.1775000000000002</v>
      </c>
      <c r="F36" s="1" t="s">
        <v>65</v>
      </c>
    </row>
    <row r="37" spans="1:6" x14ac:dyDescent="0.45">
      <c r="A37" s="1">
        <v>27</v>
      </c>
      <c r="B37" s="1" t="s">
        <v>59</v>
      </c>
      <c r="C37" s="1">
        <v>84.15</v>
      </c>
      <c r="D37" s="1">
        <v>9</v>
      </c>
      <c r="E37" s="1">
        <v>9.35</v>
      </c>
      <c r="F37" s="1" t="s">
        <v>65</v>
      </c>
    </row>
    <row r="38" spans="1:6" x14ac:dyDescent="0.45">
      <c r="A38" s="1">
        <v>28</v>
      </c>
      <c r="B38" s="1" t="s">
        <v>59</v>
      </c>
      <c r="C38" s="1">
        <v>72.27</v>
      </c>
      <c r="D38" s="1">
        <v>10</v>
      </c>
      <c r="E38" s="1">
        <v>7.2270000000000003</v>
      </c>
      <c r="F38" s="1" t="s">
        <v>65</v>
      </c>
    </row>
    <row r="39" spans="1:6" x14ac:dyDescent="0.45">
      <c r="A39" s="1">
        <v>30</v>
      </c>
      <c r="B39" s="1" t="s">
        <v>41</v>
      </c>
      <c r="C39" s="1">
        <v>91.08</v>
      </c>
      <c r="D39" s="1">
        <v>13</v>
      </c>
      <c r="E39" s="1">
        <v>7.0061540000000004</v>
      </c>
      <c r="F39" s="1" t="s">
        <v>65</v>
      </c>
    </row>
    <row r="40" spans="1:6" x14ac:dyDescent="0.45">
      <c r="A40" s="1">
        <v>31</v>
      </c>
      <c r="B40" s="1" t="s">
        <v>41</v>
      </c>
      <c r="C40" s="1">
        <v>62.37</v>
      </c>
      <c r="D40" s="1">
        <v>11</v>
      </c>
      <c r="E40" s="1">
        <v>5.67</v>
      </c>
      <c r="F40" s="1" t="s">
        <v>65</v>
      </c>
    </row>
    <row r="41" spans="1:6" x14ac:dyDescent="0.45">
      <c r="A41" s="1">
        <v>32</v>
      </c>
      <c r="B41" s="1" t="s">
        <v>41</v>
      </c>
      <c r="C41" s="1">
        <v>70.290000000000006</v>
      </c>
      <c r="D41" s="1">
        <v>8</v>
      </c>
      <c r="E41" s="1">
        <v>8.7862500000000008</v>
      </c>
      <c r="F41" s="1" t="s">
        <v>65</v>
      </c>
    </row>
    <row r="42" spans="1:6" x14ac:dyDescent="0.45">
      <c r="A42" s="1">
        <v>33</v>
      </c>
      <c r="B42" s="1" t="s">
        <v>41</v>
      </c>
      <c r="C42" s="1">
        <v>75.239999999999995</v>
      </c>
      <c r="D42" s="1">
        <v>12</v>
      </c>
      <c r="E42" s="1">
        <v>6.27</v>
      </c>
      <c r="F42" s="1" t="s">
        <v>65</v>
      </c>
    </row>
    <row r="43" spans="1:6" x14ac:dyDescent="0.45">
      <c r="A43" s="1">
        <v>34</v>
      </c>
      <c r="B43" s="1" t="s">
        <v>55</v>
      </c>
      <c r="C43" s="1">
        <v>102.96</v>
      </c>
      <c r="D43" s="1">
        <v>13</v>
      </c>
      <c r="E43" s="1">
        <v>7.92</v>
      </c>
      <c r="F43" s="1" t="s">
        <v>65</v>
      </c>
    </row>
    <row r="44" spans="1:6" x14ac:dyDescent="0.45">
      <c r="A44" s="1">
        <v>35</v>
      </c>
      <c r="B44" s="1" t="s">
        <v>55</v>
      </c>
      <c r="C44" s="1">
        <v>82.17</v>
      </c>
      <c r="D44" s="1">
        <v>16</v>
      </c>
      <c r="E44" s="1">
        <v>5.1356250000000001</v>
      </c>
      <c r="F44" s="1" t="s">
        <v>65</v>
      </c>
    </row>
    <row r="45" spans="1:6" x14ac:dyDescent="0.45">
      <c r="A45" s="1">
        <v>37</v>
      </c>
      <c r="B45" s="1" t="s">
        <v>47</v>
      </c>
      <c r="C45" s="1">
        <v>94.05</v>
      </c>
      <c r="D45" s="1">
        <v>10</v>
      </c>
      <c r="E45" s="1">
        <v>9.4049999999999994</v>
      </c>
      <c r="F45" s="1" t="s">
        <v>65</v>
      </c>
    </row>
    <row r="46" spans="1:6" x14ac:dyDescent="0.45">
      <c r="A46" s="1">
        <v>41</v>
      </c>
      <c r="B46" s="1" t="s">
        <v>46</v>
      </c>
      <c r="C46" s="1">
        <v>64.349999999999994</v>
      </c>
      <c r="D46" s="1">
        <v>9</v>
      </c>
      <c r="E46" s="1">
        <v>7.15</v>
      </c>
      <c r="F46" s="1" t="s">
        <v>65</v>
      </c>
    </row>
    <row r="47" spans="1:6" x14ac:dyDescent="0.45">
      <c r="A47" s="1">
        <v>42</v>
      </c>
      <c r="B47" s="1" t="s">
        <v>46</v>
      </c>
      <c r="C47" s="1">
        <v>99.99</v>
      </c>
      <c r="D47" s="1">
        <v>11</v>
      </c>
      <c r="E47" s="1">
        <v>9.09</v>
      </c>
      <c r="F47" s="1" t="s">
        <v>65</v>
      </c>
    </row>
    <row r="48" spans="1:6" x14ac:dyDescent="0.45">
      <c r="A48" s="1">
        <v>43</v>
      </c>
      <c r="B48" s="1" t="s">
        <v>46</v>
      </c>
      <c r="C48" s="1">
        <v>73.260000000000005</v>
      </c>
      <c r="D48" s="1">
        <v>12</v>
      </c>
      <c r="E48" s="1">
        <v>6.1050000000000004</v>
      </c>
      <c r="F48" s="1" t="s">
        <v>65</v>
      </c>
    </row>
    <row r="49" spans="1:6" x14ac:dyDescent="0.45">
      <c r="A49" s="1">
        <v>44</v>
      </c>
      <c r="B49" s="1" t="s">
        <v>45</v>
      </c>
      <c r="C49" s="1">
        <v>79.2</v>
      </c>
      <c r="D49" s="1">
        <v>11</v>
      </c>
      <c r="E49" s="1">
        <v>7.2</v>
      </c>
      <c r="F49" s="1" t="s">
        <v>65</v>
      </c>
    </row>
    <row r="50" spans="1:6" x14ac:dyDescent="0.45">
      <c r="A50" s="1">
        <v>46</v>
      </c>
      <c r="B50" s="1" t="s">
        <v>50</v>
      </c>
      <c r="C50" s="1">
        <v>114.84</v>
      </c>
      <c r="D50" s="1">
        <v>13</v>
      </c>
      <c r="E50" s="1">
        <v>8.8338459999999994</v>
      </c>
      <c r="F50" s="1" t="s">
        <v>65</v>
      </c>
    </row>
    <row r="51" spans="1:6" x14ac:dyDescent="0.45">
      <c r="A51" s="1">
        <v>47</v>
      </c>
      <c r="B51" s="1" t="s">
        <v>51</v>
      </c>
      <c r="C51" s="1">
        <v>50.49</v>
      </c>
      <c r="D51" s="1">
        <v>9</v>
      </c>
      <c r="E51" s="1">
        <v>5.61</v>
      </c>
      <c r="F51" s="1" t="s">
        <v>65</v>
      </c>
    </row>
    <row r="52" spans="1:6" x14ac:dyDescent="0.45">
      <c r="A52" s="1">
        <v>49</v>
      </c>
      <c r="B52" s="1" t="s">
        <v>54</v>
      </c>
      <c r="C52" s="1">
        <v>76.23</v>
      </c>
      <c r="D52" s="1">
        <v>10</v>
      </c>
      <c r="E52" s="1">
        <v>7.6230000000000002</v>
      </c>
      <c r="F52" s="1" t="s">
        <v>65</v>
      </c>
    </row>
    <row r="53" spans="1:6" x14ac:dyDescent="0.45">
      <c r="A53" s="1">
        <v>50</v>
      </c>
      <c r="B53" s="1" t="s">
        <v>56</v>
      </c>
      <c r="C53" s="1">
        <v>98.01</v>
      </c>
      <c r="D53" s="1">
        <v>11</v>
      </c>
      <c r="E53" s="1">
        <v>8.91</v>
      </c>
      <c r="F53" s="1" t="s">
        <v>65</v>
      </c>
    </row>
    <row r="54" spans="1:6" x14ac:dyDescent="0.45">
      <c r="A54" s="1">
        <v>51</v>
      </c>
      <c r="B54" s="1" t="s">
        <v>57</v>
      </c>
      <c r="C54" s="1">
        <v>75.239999999999995</v>
      </c>
      <c r="D54" s="1">
        <v>10</v>
      </c>
      <c r="E54" s="1">
        <v>7.524</v>
      </c>
      <c r="F54" s="1" t="s">
        <v>65</v>
      </c>
    </row>
    <row r="55" spans="1:6" x14ac:dyDescent="0.45">
      <c r="A55" s="1">
        <v>52</v>
      </c>
      <c r="B55" s="1" t="s">
        <v>58</v>
      </c>
      <c r="C55" s="1">
        <v>68.31</v>
      </c>
      <c r="D55" s="1">
        <v>8</v>
      </c>
      <c r="E55" s="1">
        <v>8.5387500000000003</v>
      </c>
      <c r="F55" s="1" t="s">
        <v>65</v>
      </c>
    </row>
    <row r="56" spans="1:6" x14ac:dyDescent="0.45">
      <c r="A56" s="1">
        <v>53</v>
      </c>
      <c r="B56" s="1" t="s">
        <v>58</v>
      </c>
      <c r="C56" s="1">
        <v>98.01</v>
      </c>
      <c r="D56" s="1">
        <v>11</v>
      </c>
      <c r="E56" s="1">
        <v>8.91</v>
      </c>
      <c r="F56" s="1" t="s">
        <v>65</v>
      </c>
    </row>
    <row r="57" spans="1:6" x14ac:dyDescent="0.45">
      <c r="A57" s="1">
        <v>55</v>
      </c>
      <c r="B57" s="1" t="s">
        <v>37</v>
      </c>
      <c r="C57" s="1">
        <v>81.180000000000007</v>
      </c>
      <c r="D57" s="1">
        <v>10</v>
      </c>
      <c r="E57" s="1">
        <v>8.1180000000000003</v>
      </c>
      <c r="F57" s="1" t="s">
        <v>65</v>
      </c>
    </row>
    <row r="58" spans="1:6" x14ac:dyDescent="0.45">
      <c r="A58" s="1">
        <v>58</v>
      </c>
      <c r="B58" s="1" t="s">
        <v>49</v>
      </c>
      <c r="C58" s="1">
        <v>111.87</v>
      </c>
      <c r="D58" s="1">
        <v>13</v>
      </c>
      <c r="E58" s="1">
        <v>8.6053850000000001</v>
      </c>
      <c r="F58" s="1" t="s">
        <v>65</v>
      </c>
    </row>
    <row r="59" spans="1:6" x14ac:dyDescent="0.45">
      <c r="A59" s="1">
        <v>59</v>
      </c>
      <c r="B59" s="1" t="s">
        <v>49</v>
      </c>
      <c r="C59" s="1">
        <v>71.28</v>
      </c>
      <c r="D59" s="1">
        <v>8</v>
      </c>
      <c r="E59" s="1">
        <v>8.91</v>
      </c>
      <c r="F59" s="1" t="s">
        <v>65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8FEC-7B12-49C4-AC6C-6058AB94649F}">
  <dimension ref="A1:O60"/>
  <sheetViews>
    <sheetView topLeftCell="G8" workbookViewId="0">
      <selection activeCell="Q16" sqref="Q16"/>
    </sheetView>
  </sheetViews>
  <sheetFormatPr defaultRowHeight="14.25" x14ac:dyDescent="0.45"/>
  <cols>
    <col min="2" max="2" width="24.59765625" customWidth="1"/>
    <col min="3" max="3" width="12.33203125" bestFit="1" customWidth="1"/>
    <col min="4" max="4" width="13.6640625" bestFit="1" customWidth="1"/>
    <col min="9" max="9" width="16.33203125" bestFit="1" customWidth="1"/>
    <col min="12" max="12" width="15" bestFit="1" customWidth="1"/>
    <col min="13" max="13" width="17.53125" bestFit="1" customWidth="1"/>
    <col min="14" max="14" width="16.86328125" bestFit="1" customWidth="1"/>
    <col min="15" max="15" width="18.46484375" bestFit="1" customWidth="1"/>
  </cols>
  <sheetData>
    <row r="1" spans="1:15" x14ac:dyDescent="0.45">
      <c r="A1" t="s">
        <v>60</v>
      </c>
      <c r="B1" t="s">
        <v>73</v>
      </c>
      <c r="C1" t="s">
        <v>74</v>
      </c>
      <c r="D1" t="s">
        <v>75</v>
      </c>
      <c r="E1" t="s">
        <v>76</v>
      </c>
      <c r="F1" t="s">
        <v>62</v>
      </c>
      <c r="G1" t="s">
        <v>33</v>
      </c>
      <c r="H1" t="s">
        <v>32</v>
      </c>
      <c r="I1" t="s">
        <v>77</v>
      </c>
    </row>
    <row r="2" spans="1:15" x14ac:dyDescent="0.45">
      <c r="A2" s="1">
        <v>1</v>
      </c>
      <c r="B2" s="1" t="s">
        <v>78</v>
      </c>
      <c r="C2" s="8">
        <v>42761</v>
      </c>
      <c r="D2" s="8">
        <v>44036</v>
      </c>
      <c r="E2" s="1">
        <v>1275</v>
      </c>
      <c r="F2" s="1">
        <v>108.9</v>
      </c>
      <c r="G2" s="1">
        <v>13</v>
      </c>
      <c r="H2" s="1">
        <v>8.3800000000000008</v>
      </c>
      <c r="I2" s="1" t="s">
        <v>79</v>
      </c>
    </row>
    <row r="3" spans="1:15" x14ac:dyDescent="0.45">
      <c r="A3" s="1">
        <v>2</v>
      </c>
      <c r="B3" s="1" t="s">
        <v>80</v>
      </c>
      <c r="C3" s="8">
        <v>42864</v>
      </c>
      <c r="D3" s="8">
        <v>44156</v>
      </c>
      <c r="E3" s="1">
        <v>1292</v>
      </c>
      <c r="F3" s="1">
        <v>82.17</v>
      </c>
      <c r="G3" s="1">
        <v>11</v>
      </c>
      <c r="H3" s="1">
        <v>7.47</v>
      </c>
      <c r="I3" s="1" t="s">
        <v>79</v>
      </c>
    </row>
    <row r="4" spans="1:15" x14ac:dyDescent="0.45">
      <c r="A4" s="1">
        <v>3</v>
      </c>
      <c r="B4" s="1" t="s">
        <v>81</v>
      </c>
      <c r="C4" s="8">
        <v>42787</v>
      </c>
      <c r="D4" s="8">
        <v>43967</v>
      </c>
      <c r="E4" s="1">
        <v>1180</v>
      </c>
      <c r="F4" s="1">
        <v>99.99</v>
      </c>
      <c r="G4" s="1">
        <v>9</v>
      </c>
      <c r="H4" s="1">
        <v>11.11</v>
      </c>
      <c r="I4" s="1" t="s">
        <v>82</v>
      </c>
    </row>
    <row r="5" spans="1:15" x14ac:dyDescent="0.45">
      <c r="A5" s="1">
        <v>4</v>
      </c>
      <c r="B5" s="1" t="s">
        <v>83</v>
      </c>
      <c r="C5" s="8">
        <v>42776</v>
      </c>
      <c r="D5" s="8">
        <v>43865</v>
      </c>
      <c r="E5" s="1">
        <v>1089</v>
      </c>
      <c r="F5" s="1">
        <v>72.27</v>
      </c>
      <c r="G5" s="1">
        <v>9</v>
      </c>
      <c r="H5" s="1">
        <v>8.0299999999999994</v>
      </c>
      <c r="I5" s="1" t="s">
        <v>82</v>
      </c>
      <c r="L5" s="4" t="s">
        <v>66</v>
      </c>
      <c r="M5" t="s">
        <v>70</v>
      </c>
      <c r="N5" t="s">
        <v>68</v>
      </c>
      <c r="O5" t="s">
        <v>139</v>
      </c>
    </row>
    <row r="6" spans="1:15" x14ac:dyDescent="0.45">
      <c r="A6" s="1">
        <v>5</v>
      </c>
      <c r="B6" s="1" t="s">
        <v>84</v>
      </c>
      <c r="C6" s="8">
        <v>42884</v>
      </c>
      <c r="D6" s="8">
        <v>44147</v>
      </c>
      <c r="E6" s="1">
        <v>1263</v>
      </c>
      <c r="F6" s="1">
        <v>144.54</v>
      </c>
      <c r="G6" s="1">
        <v>18</v>
      </c>
      <c r="H6" s="1">
        <v>8.0299999999999994</v>
      </c>
      <c r="I6" s="1" t="s">
        <v>79</v>
      </c>
      <c r="L6" s="5" t="s">
        <v>79</v>
      </c>
      <c r="M6" s="6">
        <v>456</v>
      </c>
      <c r="N6" s="6">
        <v>3525.389999999999</v>
      </c>
      <c r="O6" s="6">
        <v>43</v>
      </c>
    </row>
    <row r="7" spans="1:15" x14ac:dyDescent="0.45">
      <c r="A7" s="1">
        <v>6</v>
      </c>
      <c r="B7" s="1" t="s">
        <v>85</v>
      </c>
      <c r="C7" s="8">
        <v>42978</v>
      </c>
      <c r="D7" s="8">
        <v>44127</v>
      </c>
      <c r="E7" s="1">
        <v>1149</v>
      </c>
      <c r="F7" s="1">
        <v>128.69999999999999</v>
      </c>
      <c r="G7" s="1">
        <v>12</v>
      </c>
      <c r="H7" s="1">
        <v>10.73</v>
      </c>
      <c r="I7" s="1" t="s">
        <v>79</v>
      </c>
      <c r="L7" s="5" t="s">
        <v>82</v>
      </c>
      <c r="M7" s="6">
        <v>158</v>
      </c>
      <c r="N7" s="6">
        <v>1184.04</v>
      </c>
      <c r="O7" s="6">
        <v>16</v>
      </c>
    </row>
    <row r="8" spans="1:15" x14ac:dyDescent="0.45">
      <c r="A8" s="1">
        <v>7</v>
      </c>
      <c r="B8" s="1" t="s">
        <v>86</v>
      </c>
      <c r="C8" s="8">
        <v>43001</v>
      </c>
      <c r="D8" s="8">
        <v>44069</v>
      </c>
      <c r="E8" s="1">
        <v>1068</v>
      </c>
      <c r="F8" s="1">
        <v>69.3</v>
      </c>
      <c r="G8" s="1">
        <v>9</v>
      </c>
      <c r="H8" s="1">
        <v>7.7</v>
      </c>
      <c r="I8" s="1" t="s">
        <v>79</v>
      </c>
      <c r="L8" s="5" t="s">
        <v>67</v>
      </c>
      <c r="M8" s="6">
        <v>614</v>
      </c>
      <c r="N8" s="6">
        <v>4709.4299999999994</v>
      </c>
      <c r="O8" s="6">
        <v>59</v>
      </c>
    </row>
    <row r="9" spans="1:15" x14ac:dyDescent="0.45">
      <c r="A9" s="1">
        <v>8</v>
      </c>
      <c r="B9" s="1" t="s">
        <v>87</v>
      </c>
      <c r="C9" s="8">
        <v>42938</v>
      </c>
      <c r="D9" s="8">
        <v>43729</v>
      </c>
      <c r="E9" s="1">
        <v>791</v>
      </c>
      <c r="F9" s="1">
        <v>60.39</v>
      </c>
      <c r="G9" s="1">
        <v>7</v>
      </c>
      <c r="H9" s="1">
        <v>8.6300000000000008</v>
      </c>
      <c r="I9" s="1" t="s">
        <v>82</v>
      </c>
    </row>
    <row r="10" spans="1:15" x14ac:dyDescent="0.45">
      <c r="A10" s="1">
        <v>9</v>
      </c>
      <c r="B10" s="1" t="s">
        <v>88</v>
      </c>
      <c r="C10" s="8">
        <v>42773</v>
      </c>
      <c r="D10" s="8">
        <v>43859</v>
      </c>
      <c r="E10" s="1">
        <v>1086</v>
      </c>
      <c r="F10" s="1">
        <v>37.619999999999997</v>
      </c>
      <c r="G10" s="1">
        <v>10</v>
      </c>
      <c r="H10" s="1">
        <v>3.76</v>
      </c>
      <c r="I10" s="1" t="s">
        <v>82</v>
      </c>
    </row>
    <row r="11" spans="1:15" x14ac:dyDescent="0.45">
      <c r="A11" s="1">
        <v>10</v>
      </c>
      <c r="B11" s="1" t="s">
        <v>89</v>
      </c>
      <c r="C11" s="8">
        <v>42772</v>
      </c>
      <c r="D11" s="8">
        <v>44007</v>
      </c>
      <c r="E11" s="1">
        <v>1235</v>
      </c>
      <c r="F11" s="1">
        <v>60.39</v>
      </c>
      <c r="G11" s="1">
        <v>12</v>
      </c>
      <c r="H11" s="1">
        <v>5.03</v>
      </c>
      <c r="I11" s="1" t="s">
        <v>82</v>
      </c>
    </row>
    <row r="12" spans="1:15" x14ac:dyDescent="0.45">
      <c r="A12" s="1">
        <v>11</v>
      </c>
      <c r="B12" s="1" t="s">
        <v>90</v>
      </c>
      <c r="C12" s="8">
        <v>43033</v>
      </c>
      <c r="D12" s="8">
        <v>44006</v>
      </c>
      <c r="E12" s="1">
        <v>973</v>
      </c>
      <c r="F12" s="1">
        <v>69.3</v>
      </c>
      <c r="G12" s="1">
        <v>10</v>
      </c>
      <c r="H12" s="1">
        <v>6.93</v>
      </c>
      <c r="I12" s="1" t="s">
        <v>82</v>
      </c>
    </row>
    <row r="13" spans="1:15" x14ac:dyDescent="0.45">
      <c r="A13" s="1">
        <v>12</v>
      </c>
      <c r="B13" s="1" t="s">
        <v>91</v>
      </c>
      <c r="C13" s="8">
        <v>42783</v>
      </c>
      <c r="D13" s="8">
        <v>44158</v>
      </c>
      <c r="E13" s="1">
        <v>1375</v>
      </c>
      <c r="F13" s="1">
        <v>82.17</v>
      </c>
      <c r="G13" s="1">
        <v>11</v>
      </c>
      <c r="H13" s="1">
        <v>7.47</v>
      </c>
      <c r="I13" s="1" t="s">
        <v>79</v>
      </c>
    </row>
    <row r="14" spans="1:15" x14ac:dyDescent="0.45">
      <c r="A14" s="1">
        <v>13</v>
      </c>
      <c r="B14" s="1" t="s">
        <v>92</v>
      </c>
      <c r="C14" s="8">
        <v>42873</v>
      </c>
      <c r="D14" s="8">
        <v>44163</v>
      </c>
      <c r="E14" s="1">
        <v>1290</v>
      </c>
      <c r="F14" s="1">
        <v>106.92</v>
      </c>
      <c r="G14" s="1">
        <v>15</v>
      </c>
      <c r="H14" s="1">
        <v>7.13</v>
      </c>
      <c r="I14" s="1" t="s">
        <v>79</v>
      </c>
    </row>
    <row r="15" spans="1:15" x14ac:dyDescent="0.45">
      <c r="A15" s="1">
        <v>14</v>
      </c>
      <c r="B15" s="1" t="s">
        <v>93</v>
      </c>
      <c r="C15" s="8">
        <v>43030</v>
      </c>
      <c r="D15" s="8">
        <v>44185</v>
      </c>
      <c r="E15" s="1">
        <v>1155</v>
      </c>
      <c r="F15" s="1">
        <v>29.7</v>
      </c>
      <c r="G15" s="1">
        <v>10</v>
      </c>
      <c r="H15" s="1">
        <v>2.97</v>
      </c>
      <c r="I15" s="1" t="s">
        <v>79</v>
      </c>
    </row>
    <row r="16" spans="1:15" x14ac:dyDescent="0.45">
      <c r="A16" s="1">
        <v>15</v>
      </c>
      <c r="B16" s="1" t="s">
        <v>94</v>
      </c>
      <c r="C16" s="8">
        <v>42849</v>
      </c>
      <c r="D16" s="8">
        <v>44183</v>
      </c>
      <c r="E16" s="1">
        <v>1334</v>
      </c>
      <c r="F16" s="1">
        <v>66.33</v>
      </c>
      <c r="G16" s="1">
        <v>9</v>
      </c>
      <c r="H16" s="1">
        <v>7.37</v>
      </c>
      <c r="I16" s="1" t="s">
        <v>79</v>
      </c>
    </row>
    <row r="17" spans="1:9" x14ac:dyDescent="0.45">
      <c r="A17" s="1">
        <v>16</v>
      </c>
      <c r="B17" s="1" t="s">
        <v>95</v>
      </c>
      <c r="C17" s="8">
        <v>42854</v>
      </c>
      <c r="D17" s="8">
        <v>44155</v>
      </c>
      <c r="E17" s="1">
        <v>1301</v>
      </c>
      <c r="F17" s="1">
        <v>74.25</v>
      </c>
      <c r="G17" s="1">
        <v>8</v>
      </c>
      <c r="H17" s="1">
        <v>9.2799999999999994</v>
      </c>
      <c r="I17" s="1" t="s">
        <v>79</v>
      </c>
    </row>
    <row r="18" spans="1:9" x14ac:dyDescent="0.45">
      <c r="A18" s="1">
        <v>17</v>
      </c>
      <c r="B18" s="1" t="s">
        <v>96</v>
      </c>
      <c r="C18" s="8">
        <v>42939</v>
      </c>
      <c r="D18" s="8">
        <v>44085</v>
      </c>
      <c r="E18" s="1">
        <v>1146</v>
      </c>
      <c r="F18" s="1">
        <v>98.01</v>
      </c>
      <c r="G18" s="1">
        <v>12</v>
      </c>
      <c r="H18" s="1">
        <v>8.17</v>
      </c>
      <c r="I18" s="1" t="s">
        <v>79</v>
      </c>
    </row>
    <row r="19" spans="1:9" x14ac:dyDescent="0.45">
      <c r="A19" s="1">
        <v>18</v>
      </c>
      <c r="B19" s="1" t="s">
        <v>97</v>
      </c>
      <c r="C19" s="8">
        <v>42738</v>
      </c>
      <c r="D19" s="8">
        <v>43895</v>
      </c>
      <c r="E19" s="1">
        <v>1157</v>
      </c>
      <c r="F19" s="1">
        <v>79.2</v>
      </c>
      <c r="G19" s="1">
        <v>8</v>
      </c>
      <c r="H19" s="1">
        <v>9.9</v>
      </c>
      <c r="I19" s="1" t="s">
        <v>82</v>
      </c>
    </row>
    <row r="20" spans="1:9" x14ac:dyDescent="0.45">
      <c r="A20" s="1">
        <v>19</v>
      </c>
      <c r="B20" s="1" t="s">
        <v>98</v>
      </c>
      <c r="C20" s="8">
        <v>42812</v>
      </c>
      <c r="D20" s="8">
        <v>43935</v>
      </c>
      <c r="E20" s="1">
        <v>1123</v>
      </c>
      <c r="F20" s="1">
        <v>54.45</v>
      </c>
      <c r="G20" s="1">
        <v>9</v>
      </c>
      <c r="H20" s="1">
        <v>6.05</v>
      </c>
      <c r="I20" s="1" t="s">
        <v>82</v>
      </c>
    </row>
    <row r="21" spans="1:9" x14ac:dyDescent="0.45">
      <c r="A21" s="1">
        <v>20</v>
      </c>
      <c r="B21" s="1" t="s">
        <v>99</v>
      </c>
      <c r="C21" s="8">
        <v>42763</v>
      </c>
      <c r="D21" s="8">
        <v>44194</v>
      </c>
      <c r="E21" s="1">
        <v>1431</v>
      </c>
      <c r="F21" s="1">
        <v>95.04</v>
      </c>
      <c r="G21" s="1">
        <v>12</v>
      </c>
      <c r="H21" s="1">
        <v>7.92</v>
      </c>
      <c r="I21" s="1" t="s">
        <v>79</v>
      </c>
    </row>
    <row r="22" spans="1:9" x14ac:dyDescent="0.45">
      <c r="A22" s="1">
        <v>21</v>
      </c>
      <c r="B22" s="1" t="s">
        <v>100</v>
      </c>
      <c r="C22" s="8">
        <v>42814</v>
      </c>
      <c r="D22" s="8">
        <v>44174</v>
      </c>
      <c r="E22" s="1">
        <v>1360</v>
      </c>
      <c r="F22" s="1">
        <v>91.08</v>
      </c>
      <c r="G22" s="1">
        <v>11</v>
      </c>
      <c r="H22" s="1">
        <v>8.2799999999999994</v>
      </c>
      <c r="I22" s="1" t="s">
        <v>79</v>
      </c>
    </row>
    <row r="23" spans="1:9" x14ac:dyDescent="0.45">
      <c r="A23" s="1">
        <v>22</v>
      </c>
      <c r="B23" s="1" t="s">
        <v>101</v>
      </c>
      <c r="C23" s="8">
        <v>42813</v>
      </c>
      <c r="D23" s="8">
        <v>44134</v>
      </c>
      <c r="E23" s="1">
        <v>1321</v>
      </c>
      <c r="F23" s="1">
        <v>92.07</v>
      </c>
      <c r="G23" s="1">
        <v>12</v>
      </c>
      <c r="H23" s="1">
        <v>7.67</v>
      </c>
      <c r="I23" s="1" t="s">
        <v>79</v>
      </c>
    </row>
    <row r="24" spans="1:9" x14ac:dyDescent="0.45">
      <c r="A24" s="1">
        <v>23</v>
      </c>
      <c r="B24" s="1" t="s">
        <v>102</v>
      </c>
      <c r="C24" s="8">
        <v>43042</v>
      </c>
      <c r="D24" s="8">
        <v>44162</v>
      </c>
      <c r="E24" s="1">
        <v>1120</v>
      </c>
      <c r="F24" s="1">
        <v>66.33</v>
      </c>
      <c r="G24" s="1">
        <v>10</v>
      </c>
      <c r="H24" s="1">
        <v>6.63</v>
      </c>
      <c r="I24" s="1" t="s">
        <v>79</v>
      </c>
    </row>
    <row r="25" spans="1:9" x14ac:dyDescent="0.45">
      <c r="A25" s="1">
        <v>24</v>
      </c>
      <c r="B25" s="1" t="s">
        <v>103</v>
      </c>
      <c r="C25" s="8">
        <v>42768</v>
      </c>
      <c r="D25" s="8">
        <v>44129</v>
      </c>
      <c r="E25" s="1">
        <v>1361</v>
      </c>
      <c r="F25" s="1">
        <v>71.28</v>
      </c>
      <c r="G25" s="1">
        <v>8</v>
      </c>
      <c r="H25" s="1">
        <v>8.91</v>
      </c>
      <c r="I25" s="1" t="s">
        <v>79</v>
      </c>
    </row>
    <row r="26" spans="1:9" x14ac:dyDescent="0.45">
      <c r="A26" s="1">
        <v>25</v>
      </c>
      <c r="B26" s="1" t="s">
        <v>104</v>
      </c>
      <c r="C26" s="8">
        <v>42758</v>
      </c>
      <c r="D26" s="8">
        <v>44125</v>
      </c>
      <c r="E26" s="1">
        <v>1367</v>
      </c>
      <c r="F26" s="1">
        <v>76.23</v>
      </c>
      <c r="G26" s="1">
        <v>10</v>
      </c>
      <c r="H26" s="1">
        <v>7.62</v>
      </c>
      <c r="I26" s="1" t="s">
        <v>79</v>
      </c>
    </row>
    <row r="27" spans="1:9" x14ac:dyDescent="0.45">
      <c r="A27" s="1">
        <v>26</v>
      </c>
      <c r="B27" s="1" t="s">
        <v>105</v>
      </c>
      <c r="C27" s="8">
        <v>42838</v>
      </c>
      <c r="D27" s="8">
        <v>44175</v>
      </c>
      <c r="E27" s="1">
        <v>1337</v>
      </c>
      <c r="F27" s="1">
        <v>86.13</v>
      </c>
      <c r="G27" s="1">
        <v>12</v>
      </c>
      <c r="H27" s="1">
        <v>7.18</v>
      </c>
      <c r="I27" s="1" t="s">
        <v>79</v>
      </c>
    </row>
    <row r="28" spans="1:9" x14ac:dyDescent="0.45">
      <c r="A28" s="1">
        <v>27</v>
      </c>
      <c r="B28" s="1" t="s">
        <v>106</v>
      </c>
      <c r="C28" s="8">
        <v>42742</v>
      </c>
      <c r="D28" s="8">
        <v>44120</v>
      </c>
      <c r="E28" s="1">
        <v>1378</v>
      </c>
      <c r="F28" s="1">
        <v>84.15</v>
      </c>
      <c r="G28" s="1">
        <v>9</v>
      </c>
      <c r="H28" s="1">
        <v>9.35</v>
      </c>
      <c r="I28" s="1" t="s">
        <v>79</v>
      </c>
    </row>
    <row r="29" spans="1:9" x14ac:dyDescent="0.45">
      <c r="A29" s="1">
        <v>28</v>
      </c>
      <c r="B29" s="1" t="s">
        <v>107</v>
      </c>
      <c r="C29" s="8">
        <v>42988</v>
      </c>
      <c r="D29" s="8">
        <v>44124</v>
      </c>
      <c r="E29" s="1">
        <v>1136</v>
      </c>
      <c r="F29" s="1">
        <v>72.27</v>
      </c>
      <c r="G29" s="1">
        <v>10</v>
      </c>
      <c r="H29" s="1">
        <v>7.23</v>
      </c>
      <c r="I29" s="1" t="s">
        <v>79</v>
      </c>
    </row>
    <row r="30" spans="1:9" x14ac:dyDescent="0.45">
      <c r="A30" s="1">
        <v>29</v>
      </c>
      <c r="B30" s="1" t="s">
        <v>108</v>
      </c>
      <c r="C30" s="8">
        <v>42997</v>
      </c>
      <c r="D30" s="8">
        <v>44173</v>
      </c>
      <c r="E30" s="1">
        <v>1176</v>
      </c>
      <c r="F30" s="1">
        <v>40.590000000000003</v>
      </c>
      <c r="G30" s="1">
        <v>4</v>
      </c>
      <c r="H30" s="1">
        <v>10.15</v>
      </c>
      <c r="I30" s="1" t="s">
        <v>79</v>
      </c>
    </row>
    <row r="31" spans="1:9" x14ac:dyDescent="0.45">
      <c r="A31" s="1">
        <v>30</v>
      </c>
      <c r="B31" s="1" t="s">
        <v>109</v>
      </c>
      <c r="C31" s="8">
        <v>42738</v>
      </c>
      <c r="D31" s="8">
        <v>44135</v>
      </c>
      <c r="E31" s="1">
        <v>1397</v>
      </c>
      <c r="F31" s="1">
        <v>91.08</v>
      </c>
      <c r="G31" s="1">
        <v>13</v>
      </c>
      <c r="H31" s="1">
        <v>7.01</v>
      </c>
      <c r="I31" s="1" t="s">
        <v>79</v>
      </c>
    </row>
    <row r="32" spans="1:9" x14ac:dyDescent="0.45">
      <c r="A32" s="1">
        <v>31</v>
      </c>
      <c r="B32" s="1" t="s">
        <v>110</v>
      </c>
      <c r="C32" s="8">
        <v>42745</v>
      </c>
      <c r="D32" s="8">
        <v>44159</v>
      </c>
      <c r="E32" s="1">
        <v>1414</v>
      </c>
      <c r="F32" s="1">
        <v>62.37</v>
      </c>
      <c r="G32" s="1">
        <v>11</v>
      </c>
      <c r="H32" s="1">
        <v>5.67</v>
      </c>
      <c r="I32" s="1" t="s">
        <v>79</v>
      </c>
    </row>
    <row r="33" spans="1:9" x14ac:dyDescent="0.45">
      <c r="A33" s="1">
        <v>32</v>
      </c>
      <c r="B33" s="1" t="s">
        <v>111</v>
      </c>
      <c r="C33" s="8">
        <v>42918</v>
      </c>
      <c r="D33" s="8">
        <v>44130</v>
      </c>
      <c r="E33" s="1">
        <v>1212</v>
      </c>
      <c r="F33" s="1">
        <v>70.290000000000006</v>
      </c>
      <c r="G33" s="1">
        <v>8</v>
      </c>
      <c r="H33" s="1">
        <v>8.7899999999999991</v>
      </c>
      <c r="I33" s="1" t="s">
        <v>79</v>
      </c>
    </row>
    <row r="34" spans="1:9" ht="28.5" x14ac:dyDescent="0.45">
      <c r="A34" s="1">
        <v>33</v>
      </c>
      <c r="B34" s="1" t="s">
        <v>112</v>
      </c>
      <c r="C34" s="8">
        <v>42789</v>
      </c>
      <c r="D34" s="8">
        <v>44192</v>
      </c>
      <c r="E34" s="1">
        <v>1403</v>
      </c>
      <c r="F34" s="1">
        <v>75.239999999999995</v>
      </c>
      <c r="G34" s="1">
        <v>12</v>
      </c>
      <c r="H34" s="1">
        <v>6.27</v>
      </c>
      <c r="I34" s="1" t="s">
        <v>79</v>
      </c>
    </row>
    <row r="35" spans="1:9" ht="28.5" x14ac:dyDescent="0.45">
      <c r="A35" s="1">
        <v>34</v>
      </c>
      <c r="B35" s="1" t="s">
        <v>113</v>
      </c>
      <c r="C35" s="8">
        <v>42791</v>
      </c>
      <c r="D35" s="8">
        <v>44117</v>
      </c>
      <c r="E35" s="1">
        <v>1326</v>
      </c>
      <c r="F35" s="1">
        <v>102.96</v>
      </c>
      <c r="G35" s="1">
        <v>13</v>
      </c>
      <c r="H35" s="1">
        <v>7.92</v>
      </c>
      <c r="I35" s="1" t="s">
        <v>79</v>
      </c>
    </row>
    <row r="36" spans="1:9" ht="28.5" x14ac:dyDescent="0.45">
      <c r="A36" s="1">
        <v>35</v>
      </c>
      <c r="B36" s="1" t="s">
        <v>114</v>
      </c>
      <c r="C36" s="8">
        <v>42757</v>
      </c>
      <c r="D36" s="8">
        <v>44182</v>
      </c>
      <c r="E36" s="1">
        <v>1425</v>
      </c>
      <c r="F36" s="1">
        <v>82.17</v>
      </c>
      <c r="G36" s="1">
        <v>16</v>
      </c>
      <c r="H36" s="1">
        <v>5.14</v>
      </c>
      <c r="I36" s="1" t="s">
        <v>79</v>
      </c>
    </row>
    <row r="37" spans="1:9" ht="28.5" x14ac:dyDescent="0.45">
      <c r="A37" s="1">
        <v>36</v>
      </c>
      <c r="B37" s="1" t="s">
        <v>115</v>
      </c>
      <c r="C37" s="8">
        <v>42818</v>
      </c>
      <c r="D37" s="8">
        <v>43928</v>
      </c>
      <c r="E37" s="1">
        <v>1110</v>
      </c>
      <c r="F37" s="1">
        <v>85.14</v>
      </c>
      <c r="G37" s="1">
        <v>11</v>
      </c>
      <c r="H37" s="1">
        <v>7.74</v>
      </c>
      <c r="I37" s="1" t="s">
        <v>82</v>
      </c>
    </row>
    <row r="38" spans="1:9" ht="42.75" x14ac:dyDescent="0.45">
      <c r="A38" s="1">
        <v>37</v>
      </c>
      <c r="B38" s="1" t="s">
        <v>116</v>
      </c>
      <c r="C38" s="8">
        <v>42807</v>
      </c>
      <c r="D38" s="8">
        <v>44101</v>
      </c>
      <c r="E38" s="1">
        <v>1294</v>
      </c>
      <c r="F38" s="1">
        <v>94.05</v>
      </c>
      <c r="G38" s="1">
        <v>10</v>
      </c>
      <c r="H38" s="1">
        <v>9.41</v>
      </c>
      <c r="I38" s="1" t="s">
        <v>79</v>
      </c>
    </row>
    <row r="39" spans="1:9" ht="28.5" x14ac:dyDescent="0.45">
      <c r="A39" s="1">
        <v>38</v>
      </c>
      <c r="B39" s="1" t="s">
        <v>117</v>
      </c>
      <c r="C39" s="8">
        <v>42755</v>
      </c>
      <c r="D39" s="8">
        <v>43943</v>
      </c>
      <c r="E39" s="1">
        <v>1188</v>
      </c>
      <c r="F39" s="1">
        <v>73.260000000000005</v>
      </c>
      <c r="G39" s="1">
        <v>9</v>
      </c>
      <c r="H39" s="1">
        <v>8.14</v>
      </c>
      <c r="I39" s="1" t="s">
        <v>82</v>
      </c>
    </row>
    <row r="40" spans="1:9" ht="28.5" x14ac:dyDescent="0.45">
      <c r="A40" s="1">
        <v>39</v>
      </c>
      <c r="B40" s="1" t="s">
        <v>118</v>
      </c>
      <c r="C40" s="8">
        <v>42777</v>
      </c>
      <c r="D40" s="8">
        <v>43932</v>
      </c>
      <c r="E40" s="1">
        <v>1155</v>
      </c>
      <c r="F40" s="1">
        <v>79.2</v>
      </c>
      <c r="G40" s="1">
        <v>9</v>
      </c>
      <c r="H40" s="1">
        <v>8.8000000000000007</v>
      </c>
      <c r="I40" s="1" t="s">
        <v>82</v>
      </c>
    </row>
    <row r="41" spans="1:9" ht="28.5" x14ac:dyDescent="0.45">
      <c r="A41" s="1">
        <v>40</v>
      </c>
      <c r="B41" s="1" t="s">
        <v>119</v>
      </c>
      <c r="C41" s="8">
        <v>42740</v>
      </c>
      <c r="D41" s="8">
        <v>44135</v>
      </c>
      <c r="E41" s="1">
        <v>1395</v>
      </c>
      <c r="F41" s="1">
        <v>72.27</v>
      </c>
      <c r="G41" s="1">
        <v>9</v>
      </c>
      <c r="H41" s="1">
        <v>8.0299999999999994</v>
      </c>
      <c r="I41" s="1" t="s">
        <v>79</v>
      </c>
    </row>
    <row r="42" spans="1:9" ht="28.5" x14ac:dyDescent="0.45">
      <c r="A42" s="1">
        <v>41</v>
      </c>
      <c r="B42" s="1" t="s">
        <v>120</v>
      </c>
      <c r="C42" s="8">
        <v>43109</v>
      </c>
      <c r="D42" s="8">
        <v>44147</v>
      </c>
      <c r="E42" s="1">
        <v>1038</v>
      </c>
      <c r="F42" s="1">
        <v>64.349999999999994</v>
      </c>
      <c r="G42" s="1">
        <v>9</v>
      </c>
      <c r="H42" s="1">
        <v>7.15</v>
      </c>
      <c r="I42" s="1" t="s">
        <v>79</v>
      </c>
    </row>
    <row r="43" spans="1:9" ht="28.5" x14ac:dyDescent="0.45">
      <c r="A43" s="1">
        <v>42</v>
      </c>
      <c r="B43" s="1" t="s">
        <v>121</v>
      </c>
      <c r="C43" s="8">
        <v>42756</v>
      </c>
      <c r="D43" s="8">
        <v>44162</v>
      </c>
      <c r="E43" s="1">
        <v>1406</v>
      </c>
      <c r="F43" s="1">
        <v>99.99</v>
      </c>
      <c r="G43" s="1">
        <v>11</v>
      </c>
      <c r="H43" s="1">
        <v>9.09</v>
      </c>
      <c r="I43" s="1" t="s">
        <v>79</v>
      </c>
    </row>
    <row r="44" spans="1:9" ht="28.5" x14ac:dyDescent="0.45">
      <c r="A44" s="1">
        <v>43</v>
      </c>
      <c r="B44" s="1" t="s">
        <v>122</v>
      </c>
      <c r="C44" s="8">
        <v>42772</v>
      </c>
      <c r="D44" s="8">
        <v>43953</v>
      </c>
      <c r="E44" s="1">
        <v>1181</v>
      </c>
      <c r="F44" s="1">
        <v>73.260000000000005</v>
      </c>
      <c r="G44" s="1">
        <v>12</v>
      </c>
      <c r="H44" s="1">
        <v>6.11</v>
      </c>
      <c r="I44" s="1" t="s">
        <v>82</v>
      </c>
    </row>
    <row r="45" spans="1:9" ht="42.75" x14ac:dyDescent="0.45">
      <c r="A45" s="1">
        <v>44</v>
      </c>
      <c r="B45" s="1" t="s">
        <v>123</v>
      </c>
      <c r="C45" s="8">
        <v>42760</v>
      </c>
      <c r="D45" s="8">
        <v>44173</v>
      </c>
      <c r="E45" s="1">
        <v>1413</v>
      </c>
      <c r="F45" s="1">
        <v>79.2</v>
      </c>
      <c r="G45" s="1">
        <v>11</v>
      </c>
      <c r="H45" s="1">
        <v>7.2</v>
      </c>
      <c r="I45" s="1" t="s">
        <v>79</v>
      </c>
    </row>
    <row r="46" spans="1:9" ht="28.5" x14ac:dyDescent="0.45">
      <c r="A46" s="1">
        <v>45</v>
      </c>
      <c r="B46" s="1" t="s">
        <v>124</v>
      </c>
      <c r="C46" s="8">
        <v>42783</v>
      </c>
      <c r="D46" s="8">
        <v>44123</v>
      </c>
      <c r="E46" s="1">
        <v>1340</v>
      </c>
      <c r="F46" s="1">
        <v>78.209999999999994</v>
      </c>
      <c r="G46" s="1">
        <v>10</v>
      </c>
      <c r="H46" s="1">
        <v>7.82</v>
      </c>
      <c r="I46" s="1" t="s">
        <v>79</v>
      </c>
    </row>
    <row r="47" spans="1:9" ht="28.5" x14ac:dyDescent="0.45">
      <c r="A47" s="1">
        <v>46</v>
      </c>
      <c r="B47" s="1" t="s">
        <v>125</v>
      </c>
      <c r="C47" s="8">
        <v>42784</v>
      </c>
      <c r="D47" s="8">
        <v>44177</v>
      </c>
      <c r="E47" s="1">
        <v>1393</v>
      </c>
      <c r="F47" s="1">
        <v>114.84</v>
      </c>
      <c r="G47" s="1">
        <v>13</v>
      </c>
      <c r="H47" s="1">
        <v>8.83</v>
      </c>
      <c r="I47" s="1" t="s">
        <v>79</v>
      </c>
    </row>
    <row r="48" spans="1:9" ht="28.5" x14ac:dyDescent="0.45">
      <c r="A48" s="1">
        <v>47</v>
      </c>
      <c r="B48" s="1" t="s">
        <v>126</v>
      </c>
      <c r="C48" s="8">
        <v>42851</v>
      </c>
      <c r="D48" s="8">
        <v>44110</v>
      </c>
      <c r="E48" s="1">
        <v>1259</v>
      </c>
      <c r="F48" s="1">
        <v>50.49</v>
      </c>
      <c r="G48" s="1">
        <v>9</v>
      </c>
      <c r="H48" s="1">
        <v>5.61</v>
      </c>
      <c r="I48" s="1" t="s">
        <v>79</v>
      </c>
    </row>
    <row r="49" spans="1:9" ht="42.75" x14ac:dyDescent="0.45">
      <c r="A49" s="1">
        <v>48</v>
      </c>
      <c r="B49" s="1" t="s">
        <v>127</v>
      </c>
      <c r="C49" s="8">
        <v>42901</v>
      </c>
      <c r="D49" s="8">
        <v>43948</v>
      </c>
      <c r="E49" s="1">
        <v>1047</v>
      </c>
      <c r="F49" s="1">
        <v>65.34</v>
      </c>
      <c r="G49" s="1">
        <v>10</v>
      </c>
      <c r="H49" s="1">
        <v>6.53</v>
      </c>
      <c r="I49" s="1" t="s">
        <v>82</v>
      </c>
    </row>
    <row r="50" spans="1:9" ht="28.5" x14ac:dyDescent="0.45">
      <c r="A50" s="1">
        <v>49</v>
      </c>
      <c r="B50" s="1" t="s">
        <v>128</v>
      </c>
      <c r="C50" s="8">
        <v>42747</v>
      </c>
      <c r="D50" s="8">
        <v>44185</v>
      </c>
      <c r="E50" s="1">
        <v>1438</v>
      </c>
      <c r="F50" s="1">
        <v>76.23</v>
      </c>
      <c r="G50" s="1">
        <v>10</v>
      </c>
      <c r="H50" s="1">
        <v>7.62</v>
      </c>
      <c r="I50" s="1" t="s">
        <v>79</v>
      </c>
    </row>
    <row r="51" spans="1:9" ht="28.5" x14ac:dyDescent="0.45">
      <c r="A51" s="1">
        <v>50</v>
      </c>
      <c r="B51" s="1" t="s">
        <v>129</v>
      </c>
      <c r="C51" s="8">
        <v>42811</v>
      </c>
      <c r="D51" s="8">
        <v>43992</v>
      </c>
      <c r="E51" s="1">
        <v>1181</v>
      </c>
      <c r="F51" s="1">
        <v>98.01</v>
      </c>
      <c r="G51" s="1">
        <v>11</v>
      </c>
      <c r="H51" s="1">
        <v>8.91</v>
      </c>
      <c r="I51" s="1" t="s">
        <v>82</v>
      </c>
    </row>
    <row r="52" spans="1:9" ht="28.5" x14ac:dyDescent="0.45">
      <c r="A52" s="1">
        <v>51</v>
      </c>
      <c r="B52" s="1" t="s">
        <v>130</v>
      </c>
      <c r="C52" s="8">
        <v>42793</v>
      </c>
      <c r="D52" s="8">
        <v>44152</v>
      </c>
      <c r="E52" s="1">
        <v>1359</v>
      </c>
      <c r="F52" s="1">
        <v>75.239999999999995</v>
      </c>
      <c r="G52" s="1">
        <v>10</v>
      </c>
      <c r="H52" s="1">
        <v>7.52</v>
      </c>
      <c r="I52" s="1" t="s">
        <v>79</v>
      </c>
    </row>
    <row r="53" spans="1:9" ht="28.5" x14ac:dyDescent="0.45">
      <c r="A53" s="1">
        <v>52</v>
      </c>
      <c r="B53" s="1" t="s">
        <v>131</v>
      </c>
      <c r="C53" s="8">
        <v>42850</v>
      </c>
      <c r="D53" s="8">
        <v>44192</v>
      </c>
      <c r="E53" s="1">
        <v>1342</v>
      </c>
      <c r="F53" s="1">
        <v>68.31</v>
      </c>
      <c r="G53" s="1">
        <v>8</v>
      </c>
      <c r="H53" s="1">
        <v>8.5399999999999991</v>
      </c>
      <c r="I53" s="1" t="s">
        <v>79</v>
      </c>
    </row>
    <row r="54" spans="1:9" ht="28.5" x14ac:dyDescent="0.45">
      <c r="A54" s="1">
        <v>53</v>
      </c>
      <c r="B54" s="1" t="s">
        <v>132</v>
      </c>
      <c r="C54" s="8">
        <v>42775</v>
      </c>
      <c r="D54" s="8">
        <v>44195</v>
      </c>
      <c r="E54" s="1">
        <v>1420</v>
      </c>
      <c r="F54" s="1">
        <v>98.01</v>
      </c>
      <c r="G54" s="1">
        <v>11</v>
      </c>
      <c r="H54" s="1">
        <v>8.91</v>
      </c>
      <c r="I54" s="1" t="s">
        <v>79</v>
      </c>
    </row>
    <row r="55" spans="1:9" ht="28.5" x14ac:dyDescent="0.45">
      <c r="A55" s="1">
        <v>54</v>
      </c>
      <c r="B55" s="1" t="s">
        <v>133</v>
      </c>
      <c r="C55" s="8">
        <v>42966</v>
      </c>
      <c r="D55" s="8">
        <v>43915</v>
      </c>
      <c r="E55" s="1">
        <v>949</v>
      </c>
      <c r="F55" s="1">
        <v>79.2</v>
      </c>
      <c r="G55" s="1">
        <v>9</v>
      </c>
      <c r="H55" s="1">
        <v>8.8000000000000007</v>
      </c>
      <c r="I55" s="1" t="s">
        <v>82</v>
      </c>
    </row>
    <row r="56" spans="1:9" ht="28.5" x14ac:dyDescent="0.45">
      <c r="A56" s="1">
        <v>55</v>
      </c>
      <c r="B56" s="1" t="s">
        <v>134</v>
      </c>
      <c r="C56" s="8">
        <v>42781</v>
      </c>
      <c r="D56" s="8">
        <v>44186</v>
      </c>
      <c r="E56" s="1">
        <v>1405</v>
      </c>
      <c r="F56" s="1">
        <v>81.180000000000007</v>
      </c>
      <c r="G56" s="1">
        <v>10</v>
      </c>
      <c r="H56" s="1">
        <v>8.1199999999999992</v>
      </c>
      <c r="I56" s="1" t="s">
        <v>79</v>
      </c>
    </row>
    <row r="57" spans="1:9" ht="28.5" x14ac:dyDescent="0.45">
      <c r="A57" s="1">
        <v>56</v>
      </c>
      <c r="B57" s="1" t="s">
        <v>135</v>
      </c>
      <c r="C57" s="8">
        <v>43209</v>
      </c>
      <c r="D57" s="8">
        <v>44017</v>
      </c>
      <c r="E57" s="1">
        <v>808</v>
      </c>
      <c r="F57" s="1">
        <v>39.6</v>
      </c>
      <c r="G57" s="1">
        <v>5</v>
      </c>
      <c r="H57" s="1">
        <v>7.92</v>
      </c>
      <c r="I57" s="1" t="s">
        <v>79</v>
      </c>
    </row>
    <row r="58" spans="1:9" ht="28.5" x14ac:dyDescent="0.45">
      <c r="A58" s="1">
        <v>57</v>
      </c>
      <c r="B58" s="1" t="s">
        <v>136</v>
      </c>
      <c r="C58" s="8">
        <v>42819</v>
      </c>
      <c r="D58" s="8">
        <v>43991</v>
      </c>
      <c r="E58" s="1">
        <v>1172</v>
      </c>
      <c r="F58" s="1">
        <v>97.02</v>
      </c>
      <c r="G58" s="1">
        <v>13</v>
      </c>
      <c r="H58" s="1">
        <v>7.46</v>
      </c>
      <c r="I58" s="1" t="s">
        <v>82</v>
      </c>
    </row>
    <row r="59" spans="1:9" ht="28.5" x14ac:dyDescent="0.45">
      <c r="A59" s="1">
        <v>58</v>
      </c>
      <c r="B59" s="1" t="s">
        <v>137</v>
      </c>
      <c r="C59" s="8">
        <v>42787</v>
      </c>
      <c r="D59" s="8">
        <v>44027</v>
      </c>
      <c r="E59" s="1">
        <v>1240</v>
      </c>
      <c r="F59" s="1">
        <v>111.87</v>
      </c>
      <c r="G59" s="1">
        <v>13</v>
      </c>
      <c r="H59" s="1">
        <v>8.61</v>
      </c>
      <c r="I59" s="1" t="s">
        <v>79</v>
      </c>
    </row>
    <row r="60" spans="1:9" ht="28.5" x14ac:dyDescent="0.45">
      <c r="A60" s="1">
        <v>59</v>
      </c>
      <c r="B60" s="1" t="s">
        <v>138</v>
      </c>
      <c r="C60" s="8">
        <v>42748</v>
      </c>
      <c r="D60" s="8">
        <v>44184</v>
      </c>
      <c r="E60" s="1">
        <v>1436</v>
      </c>
      <c r="F60" s="1">
        <v>71.28</v>
      </c>
      <c r="G60" s="1">
        <v>8</v>
      </c>
      <c r="H60" s="1">
        <v>8.91</v>
      </c>
      <c r="I60" s="1" t="s">
        <v>79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6F75-EB95-426C-9DB5-AEE2837C5A26}">
  <dimension ref="A1:B25"/>
  <sheetViews>
    <sheetView topLeftCell="F7" zoomScale="160" workbookViewId="0">
      <selection activeCell="N13" sqref="N13"/>
    </sheetView>
  </sheetViews>
  <sheetFormatPr defaultRowHeight="14.25" x14ac:dyDescent="0.45"/>
  <cols>
    <col min="2" max="2" width="14" bestFit="1" customWidth="1"/>
  </cols>
  <sheetData>
    <row r="1" spans="1:2" x14ac:dyDescent="0.45">
      <c r="A1" t="s">
        <v>30</v>
      </c>
      <c r="B1" t="s">
        <v>34</v>
      </c>
    </row>
    <row r="2" spans="1:2" x14ac:dyDescent="0.45">
      <c r="A2" s="1" t="s">
        <v>59</v>
      </c>
      <c r="B2" s="1">
        <v>13</v>
      </c>
    </row>
    <row r="3" spans="1:2" x14ac:dyDescent="0.45">
      <c r="A3" s="1" t="s">
        <v>41</v>
      </c>
      <c r="B3" s="1">
        <v>8</v>
      </c>
    </row>
    <row r="4" spans="1:2" x14ac:dyDescent="0.45">
      <c r="A4" s="1" t="s">
        <v>40</v>
      </c>
      <c r="B4" s="1">
        <v>5</v>
      </c>
    </row>
    <row r="5" spans="1:2" x14ac:dyDescent="0.45">
      <c r="A5" s="1" t="s">
        <v>46</v>
      </c>
      <c r="B5" s="1">
        <v>5</v>
      </c>
    </row>
    <row r="6" spans="1:2" x14ac:dyDescent="0.45">
      <c r="A6" s="1" t="s">
        <v>47</v>
      </c>
      <c r="B6" s="1">
        <v>4</v>
      </c>
    </row>
    <row r="7" spans="1:2" ht="28.5" x14ac:dyDescent="0.45">
      <c r="A7" s="1" t="s">
        <v>58</v>
      </c>
      <c r="B7" s="1">
        <v>3</v>
      </c>
    </row>
    <row r="8" spans="1:2" ht="28.5" x14ac:dyDescent="0.45">
      <c r="A8" s="1" t="s">
        <v>43</v>
      </c>
      <c r="B8" s="1">
        <v>2</v>
      </c>
    </row>
    <row r="9" spans="1:2" x14ac:dyDescent="0.45">
      <c r="A9" s="1" t="s">
        <v>55</v>
      </c>
      <c r="B9" s="1">
        <v>2</v>
      </c>
    </row>
    <row r="10" spans="1:2" x14ac:dyDescent="0.45">
      <c r="A10" s="1" t="s">
        <v>49</v>
      </c>
      <c r="B10" s="1">
        <v>2</v>
      </c>
    </row>
    <row r="11" spans="1:2" x14ac:dyDescent="0.45">
      <c r="A11" s="1" t="s">
        <v>53</v>
      </c>
      <c r="B11" s="1">
        <v>1</v>
      </c>
    </row>
    <row r="12" spans="1:2" x14ac:dyDescent="0.45">
      <c r="A12" s="1" t="s">
        <v>38</v>
      </c>
      <c r="B12" s="1">
        <v>1</v>
      </c>
    </row>
    <row r="13" spans="1:2" x14ac:dyDescent="0.45">
      <c r="A13" s="1" t="s">
        <v>39</v>
      </c>
      <c r="B13" s="1">
        <v>1</v>
      </c>
    </row>
    <row r="14" spans="1:2" x14ac:dyDescent="0.45">
      <c r="A14" s="1" t="s">
        <v>44</v>
      </c>
      <c r="B14" s="1">
        <v>1</v>
      </c>
    </row>
    <row r="15" spans="1:2" x14ac:dyDescent="0.45">
      <c r="A15" s="1" t="s">
        <v>45</v>
      </c>
      <c r="B15" s="1">
        <v>1</v>
      </c>
    </row>
    <row r="16" spans="1:2" x14ac:dyDescent="0.45">
      <c r="A16" s="1" t="s">
        <v>48</v>
      </c>
      <c r="B16" s="1">
        <v>1</v>
      </c>
    </row>
    <row r="17" spans="1:2" x14ac:dyDescent="0.45">
      <c r="A17" s="1" t="s">
        <v>50</v>
      </c>
      <c r="B17" s="1">
        <v>1</v>
      </c>
    </row>
    <row r="18" spans="1:2" x14ac:dyDescent="0.45">
      <c r="A18" s="1" t="s">
        <v>51</v>
      </c>
      <c r="B18" s="1">
        <v>1</v>
      </c>
    </row>
    <row r="19" spans="1:2" ht="28.5" x14ac:dyDescent="0.45">
      <c r="A19" s="1" t="s">
        <v>52</v>
      </c>
      <c r="B19" s="1">
        <v>1</v>
      </c>
    </row>
    <row r="20" spans="1:2" x14ac:dyDescent="0.45">
      <c r="A20" s="1" t="s">
        <v>54</v>
      </c>
      <c r="B20" s="1">
        <v>1</v>
      </c>
    </row>
    <row r="21" spans="1:2" x14ac:dyDescent="0.45">
      <c r="A21" s="1" t="s">
        <v>56</v>
      </c>
      <c r="B21" s="1">
        <v>1</v>
      </c>
    </row>
    <row r="22" spans="1:2" x14ac:dyDescent="0.45">
      <c r="A22" s="1" t="s">
        <v>57</v>
      </c>
      <c r="B22" s="1">
        <v>1</v>
      </c>
    </row>
    <row r="23" spans="1:2" x14ac:dyDescent="0.45">
      <c r="A23" s="1" t="s">
        <v>37</v>
      </c>
      <c r="B23" s="1">
        <v>1</v>
      </c>
    </row>
    <row r="24" spans="1:2" x14ac:dyDescent="0.45">
      <c r="A24" s="1" t="s">
        <v>36</v>
      </c>
      <c r="B24" s="1">
        <v>1</v>
      </c>
    </row>
    <row r="25" spans="1:2" x14ac:dyDescent="0.45">
      <c r="A25" s="1" t="s">
        <v>42</v>
      </c>
      <c r="B25" s="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4D71-4608-4D7F-9318-27F217FA26E8}">
  <dimension ref="A1:B11"/>
  <sheetViews>
    <sheetView workbookViewId="0">
      <selection activeCell="C20" sqref="C20"/>
    </sheetView>
  </sheetViews>
  <sheetFormatPr defaultRowHeight="14.25" x14ac:dyDescent="0.45"/>
  <cols>
    <col min="1" max="1" width="15.33203125" customWidth="1"/>
  </cols>
  <sheetData>
    <row r="1" spans="1:2" x14ac:dyDescent="0.45">
      <c r="A1" t="s">
        <v>140</v>
      </c>
      <c r="B1" t="s">
        <v>31</v>
      </c>
    </row>
    <row r="2" spans="1:2" x14ac:dyDescent="0.45">
      <c r="A2" s="1" t="s">
        <v>59</v>
      </c>
      <c r="B2" s="9">
        <v>1040.49</v>
      </c>
    </row>
    <row r="3" spans="1:2" x14ac:dyDescent="0.45">
      <c r="A3" s="1" t="s">
        <v>41</v>
      </c>
      <c r="B3" s="9">
        <v>535.59</v>
      </c>
    </row>
    <row r="4" spans="1:2" x14ac:dyDescent="0.45">
      <c r="A4" s="1" t="s">
        <v>40</v>
      </c>
      <c r="B4" s="9">
        <v>427.68</v>
      </c>
    </row>
    <row r="5" spans="1:2" x14ac:dyDescent="0.45">
      <c r="A5" s="1" t="s">
        <v>46</v>
      </c>
      <c r="B5" s="9">
        <v>389.07</v>
      </c>
    </row>
    <row r="6" spans="1:2" x14ac:dyDescent="0.45">
      <c r="A6" s="1" t="s">
        <v>47</v>
      </c>
      <c r="B6" s="9">
        <v>334.62</v>
      </c>
    </row>
    <row r="7" spans="1:2" x14ac:dyDescent="0.45">
      <c r="A7" s="1" t="s">
        <v>43</v>
      </c>
      <c r="B7" s="9">
        <v>273.24</v>
      </c>
    </row>
    <row r="8" spans="1:2" x14ac:dyDescent="0.45">
      <c r="A8" s="1" t="s">
        <v>58</v>
      </c>
      <c r="B8" s="9">
        <v>245.52</v>
      </c>
    </row>
    <row r="9" spans="1:2" x14ac:dyDescent="0.45">
      <c r="A9" s="1" t="s">
        <v>55</v>
      </c>
      <c r="B9" s="9">
        <v>185.13</v>
      </c>
    </row>
    <row r="10" spans="1:2" x14ac:dyDescent="0.45">
      <c r="A10" s="1" t="s">
        <v>49</v>
      </c>
      <c r="B10" s="9">
        <v>183.15</v>
      </c>
    </row>
    <row r="11" spans="1:2" x14ac:dyDescent="0.45">
      <c r="A11" s="1" t="s">
        <v>50</v>
      </c>
      <c r="B11" s="9">
        <v>114.84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A852-64A8-45A4-ADE3-29B3B3B43E56}">
  <dimension ref="A1:C6"/>
  <sheetViews>
    <sheetView workbookViewId="0">
      <selection activeCell="C15" sqref="C15"/>
    </sheetView>
  </sheetViews>
  <sheetFormatPr defaultRowHeight="14.25" x14ac:dyDescent="0.45"/>
  <cols>
    <col min="1" max="1" width="17.3984375" customWidth="1"/>
    <col min="2" max="2" width="9.6640625" bestFit="1" customWidth="1"/>
    <col min="3" max="3" width="10.06640625" bestFit="1" customWidth="1"/>
  </cols>
  <sheetData>
    <row r="1" spans="1:3" x14ac:dyDescent="0.45">
      <c r="A1" t="s">
        <v>16</v>
      </c>
      <c r="B1" t="s">
        <v>141</v>
      </c>
      <c r="C1" t="s">
        <v>142</v>
      </c>
    </row>
    <row r="2" spans="1:3" x14ac:dyDescent="0.45">
      <c r="A2" s="1" t="s">
        <v>2</v>
      </c>
      <c r="B2" s="1">
        <v>555.39</v>
      </c>
      <c r="C2" s="1">
        <v>1</v>
      </c>
    </row>
    <row r="3" spans="1:3" x14ac:dyDescent="0.45">
      <c r="A3" s="1" t="s">
        <v>11</v>
      </c>
      <c r="B3" s="1">
        <v>128.69999999999999</v>
      </c>
      <c r="C3" s="1">
        <v>2</v>
      </c>
    </row>
    <row r="4" spans="1:3" x14ac:dyDescent="0.45">
      <c r="A4" s="1" t="s">
        <v>13</v>
      </c>
      <c r="B4" s="1">
        <v>122.76</v>
      </c>
      <c r="C4" s="1">
        <v>3</v>
      </c>
    </row>
    <row r="5" spans="1:3" x14ac:dyDescent="0.45">
      <c r="A5" s="1" t="s">
        <v>8</v>
      </c>
      <c r="B5" s="1">
        <v>52.47</v>
      </c>
      <c r="C5" s="1">
        <v>4</v>
      </c>
    </row>
    <row r="6" spans="1:3" x14ac:dyDescent="0.45">
      <c r="A6" s="1" t="s">
        <v>12</v>
      </c>
      <c r="B6" s="1">
        <v>35.64</v>
      </c>
      <c r="C6" s="1">
        <v>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6D16-7726-4E1F-B054-54A3EC271233}">
  <dimension ref="A1:C6"/>
  <sheetViews>
    <sheetView workbookViewId="0">
      <selection activeCell="B17" sqref="B17"/>
    </sheetView>
  </sheetViews>
  <sheetFormatPr defaultRowHeight="14.25" x14ac:dyDescent="0.45"/>
  <cols>
    <col min="1" max="1" width="17.59765625" customWidth="1"/>
    <col min="2" max="2" width="12.19921875" bestFit="1" customWidth="1"/>
    <col min="3" max="3" width="13.73046875" bestFit="1" customWidth="1"/>
  </cols>
  <sheetData>
    <row r="1" spans="1:3" x14ac:dyDescent="0.45">
      <c r="A1" t="s">
        <v>15</v>
      </c>
      <c r="B1" t="s">
        <v>143</v>
      </c>
      <c r="C1" t="s">
        <v>144</v>
      </c>
    </row>
    <row r="2" spans="1:3" x14ac:dyDescent="0.45">
      <c r="A2" s="1" t="s">
        <v>145</v>
      </c>
      <c r="B2" s="1">
        <v>525.69000000000005</v>
      </c>
      <c r="C2" s="1">
        <v>43</v>
      </c>
    </row>
    <row r="3" spans="1:3" x14ac:dyDescent="0.45">
      <c r="A3" s="1" t="s">
        <v>146</v>
      </c>
      <c r="B3" s="1">
        <v>434.61</v>
      </c>
      <c r="C3" s="1">
        <v>34</v>
      </c>
    </row>
    <row r="4" spans="1:3" x14ac:dyDescent="0.45">
      <c r="A4" s="1" t="s">
        <v>4</v>
      </c>
      <c r="B4" s="1">
        <v>424.71</v>
      </c>
      <c r="C4" s="1">
        <v>35</v>
      </c>
    </row>
    <row r="5" spans="1:3" x14ac:dyDescent="0.45">
      <c r="A5" s="1" t="s">
        <v>147</v>
      </c>
      <c r="B5" s="1">
        <v>398.97</v>
      </c>
      <c r="C5" s="1">
        <v>37</v>
      </c>
    </row>
    <row r="6" spans="1:3" x14ac:dyDescent="0.45">
      <c r="A6" s="1" t="s">
        <v>7</v>
      </c>
      <c r="B6" s="1">
        <v>387.09</v>
      </c>
      <c r="C6" s="1">
        <v>26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002C-9607-4D34-9184-66768437D109}">
  <dimension ref="A1:C6"/>
  <sheetViews>
    <sheetView workbookViewId="0">
      <selection activeCell="C13" sqref="C13"/>
    </sheetView>
  </sheetViews>
  <sheetFormatPr defaultRowHeight="14.25" x14ac:dyDescent="0.45"/>
  <cols>
    <col min="1" max="1" width="21.59765625" customWidth="1"/>
    <col min="2" max="2" width="12.19921875" bestFit="1" customWidth="1"/>
    <col min="3" max="3" width="13.73046875" bestFit="1" customWidth="1"/>
  </cols>
  <sheetData>
    <row r="1" spans="1:3" x14ac:dyDescent="0.45">
      <c r="A1" t="s">
        <v>148</v>
      </c>
      <c r="B1" t="s">
        <v>143</v>
      </c>
      <c r="C1" t="s">
        <v>144</v>
      </c>
    </row>
    <row r="2" spans="1:3" x14ac:dyDescent="0.45">
      <c r="A2" s="1" t="s">
        <v>149</v>
      </c>
      <c r="B2" s="1">
        <v>62.37</v>
      </c>
      <c r="C2" s="1">
        <v>7</v>
      </c>
    </row>
    <row r="3" spans="1:3" x14ac:dyDescent="0.45">
      <c r="A3" s="1" t="s">
        <v>150</v>
      </c>
      <c r="B3" s="1">
        <v>44.55</v>
      </c>
      <c r="C3" s="1">
        <v>4</v>
      </c>
    </row>
    <row r="4" spans="1:3" x14ac:dyDescent="0.45">
      <c r="A4" s="1" t="s">
        <v>153</v>
      </c>
      <c r="B4" s="1">
        <v>38.61</v>
      </c>
      <c r="C4" s="1">
        <v>5</v>
      </c>
    </row>
    <row r="5" spans="1:3" x14ac:dyDescent="0.45">
      <c r="A5" s="1" t="s">
        <v>151</v>
      </c>
      <c r="B5" s="1">
        <v>37.619999999999997</v>
      </c>
      <c r="C5" s="1">
        <v>4</v>
      </c>
    </row>
    <row r="6" spans="1:3" x14ac:dyDescent="0.45">
      <c r="A6" s="1" t="s">
        <v>152</v>
      </c>
      <c r="B6" s="1">
        <v>37.619999999999997</v>
      </c>
      <c r="C6" s="1">
        <v>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1EAF-733B-434C-83C4-FE5E4B7BB628}">
  <dimension ref="A1:C3"/>
  <sheetViews>
    <sheetView workbookViewId="0">
      <selection activeCell="L17" sqref="L17"/>
    </sheetView>
  </sheetViews>
  <sheetFormatPr defaultRowHeight="14.25" x14ac:dyDescent="0.45"/>
  <cols>
    <col min="1" max="1" width="15.796875" customWidth="1"/>
    <col min="2" max="2" width="19.6640625" bestFit="1" customWidth="1"/>
    <col min="3" max="3" width="18.3984375" bestFit="1" customWidth="1"/>
  </cols>
  <sheetData>
    <row r="1" spans="1:3" x14ac:dyDescent="0.45">
      <c r="A1" t="s">
        <v>156</v>
      </c>
      <c r="B1" t="s">
        <v>154</v>
      </c>
      <c r="C1" t="s">
        <v>155</v>
      </c>
    </row>
    <row r="2" spans="1:3" x14ac:dyDescent="0.45">
      <c r="A2" s="1" t="s">
        <v>157</v>
      </c>
      <c r="B2" s="1">
        <v>16</v>
      </c>
      <c r="C2" s="1">
        <v>27.12</v>
      </c>
    </row>
    <row r="3" spans="1:3" x14ac:dyDescent="0.45">
      <c r="A3" t="s">
        <v>79</v>
      </c>
      <c r="B3">
        <v>43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EA4B-6198-4D8F-AC57-0C81E19E6CE5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032B-6C79-4409-9382-149ABCCFC807}">
  <dimension ref="A1"/>
  <sheetViews>
    <sheetView workbookViewId="0">
      <selection activeCell="I27" sqref="I27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05D5-1B40-42EF-AD5C-C69DBC2A9A4D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7B68-7015-4831-9C13-56702F01CBE1}">
  <dimension ref="A1:E25"/>
  <sheetViews>
    <sheetView topLeftCell="V5" zoomScale="82" workbookViewId="0">
      <selection activeCell="N9" sqref="N9"/>
    </sheetView>
  </sheetViews>
  <sheetFormatPr defaultRowHeight="14.25" x14ac:dyDescent="0.45"/>
  <cols>
    <col min="3" max="3" width="11" bestFit="1" customWidth="1"/>
  </cols>
  <sheetData>
    <row r="1" spans="1:5" x14ac:dyDescent="0.45">
      <c r="A1" t="s">
        <v>30</v>
      </c>
      <c r="B1" t="s">
        <v>31</v>
      </c>
      <c r="C1" t="s">
        <v>33</v>
      </c>
      <c r="D1" t="s">
        <v>34</v>
      </c>
      <c r="E1" t="s">
        <v>35</v>
      </c>
    </row>
    <row r="2" spans="1:5" x14ac:dyDescent="0.45">
      <c r="A2" s="1" t="s">
        <v>36</v>
      </c>
      <c r="B2" s="1">
        <v>39.6</v>
      </c>
      <c r="C2" s="1">
        <v>5</v>
      </c>
      <c r="D2" s="1">
        <v>1</v>
      </c>
      <c r="E2" s="1">
        <v>100</v>
      </c>
    </row>
    <row r="3" spans="1:5" x14ac:dyDescent="0.45">
      <c r="A3" s="1" t="s">
        <v>37</v>
      </c>
      <c r="B3" s="1">
        <v>81.180000000000007</v>
      </c>
      <c r="C3" s="1">
        <v>10</v>
      </c>
      <c r="D3" s="1">
        <v>1</v>
      </c>
      <c r="E3" s="1">
        <v>0</v>
      </c>
    </row>
    <row r="4" spans="1:5" x14ac:dyDescent="0.45">
      <c r="A4" s="1" t="s">
        <v>38</v>
      </c>
      <c r="B4" s="1">
        <v>69.3</v>
      </c>
      <c r="C4" s="1">
        <v>9</v>
      </c>
      <c r="D4" s="1">
        <v>1</v>
      </c>
      <c r="E4" s="1">
        <v>100</v>
      </c>
    </row>
    <row r="5" spans="1:5" x14ac:dyDescent="0.45">
      <c r="A5" s="1" t="s">
        <v>39</v>
      </c>
      <c r="B5" s="1">
        <v>60.39</v>
      </c>
      <c r="C5" s="1">
        <v>7</v>
      </c>
      <c r="D5" s="1">
        <v>1</v>
      </c>
      <c r="E5" s="1">
        <v>100</v>
      </c>
    </row>
    <row r="6" spans="1:5" x14ac:dyDescent="0.45">
      <c r="A6" s="1" t="s">
        <v>40</v>
      </c>
      <c r="B6" s="1">
        <v>427.68</v>
      </c>
      <c r="C6" s="1">
        <v>61</v>
      </c>
      <c r="D6" s="1">
        <v>5</v>
      </c>
      <c r="E6" s="1">
        <v>60</v>
      </c>
    </row>
    <row r="7" spans="1:5" x14ac:dyDescent="0.45">
      <c r="A7" s="1" t="s">
        <v>41</v>
      </c>
      <c r="B7" s="1">
        <v>535.59</v>
      </c>
      <c r="C7" s="1">
        <v>76</v>
      </c>
      <c r="D7" s="1">
        <v>8</v>
      </c>
      <c r="E7" s="1">
        <v>12.5</v>
      </c>
    </row>
    <row r="8" spans="1:5" x14ac:dyDescent="0.45">
      <c r="A8" s="1" t="s">
        <v>42</v>
      </c>
      <c r="B8" s="1">
        <v>97.02</v>
      </c>
      <c r="C8" s="1">
        <v>13</v>
      </c>
      <c r="D8" s="1">
        <v>1</v>
      </c>
      <c r="E8" s="1">
        <v>100</v>
      </c>
    </row>
    <row r="9" spans="1:5" ht="28.5" x14ac:dyDescent="0.45">
      <c r="A9" s="1" t="s">
        <v>43</v>
      </c>
      <c r="B9" s="1">
        <v>273.24</v>
      </c>
      <c r="C9" s="1">
        <v>30</v>
      </c>
      <c r="D9" s="1">
        <v>2</v>
      </c>
      <c r="E9" s="1">
        <v>0</v>
      </c>
    </row>
    <row r="10" spans="1:5" x14ac:dyDescent="0.45">
      <c r="A10" s="1" t="s">
        <v>44</v>
      </c>
      <c r="B10" s="1">
        <v>37.619999999999997</v>
      </c>
      <c r="C10" s="1">
        <v>10</v>
      </c>
      <c r="D10" s="1">
        <v>1</v>
      </c>
      <c r="E10" s="1">
        <v>100</v>
      </c>
    </row>
    <row r="11" spans="1:5" x14ac:dyDescent="0.45">
      <c r="A11" s="1" t="s">
        <v>45</v>
      </c>
      <c r="B11" s="1">
        <v>79.2</v>
      </c>
      <c r="C11" s="1">
        <v>11</v>
      </c>
      <c r="D11" s="1">
        <v>1</v>
      </c>
      <c r="E11" s="1">
        <v>0</v>
      </c>
    </row>
    <row r="12" spans="1:5" x14ac:dyDescent="0.45">
      <c r="A12" s="1" t="s">
        <v>46</v>
      </c>
      <c r="B12" s="1">
        <v>389.07</v>
      </c>
      <c r="C12" s="1">
        <v>50</v>
      </c>
      <c r="D12" s="1">
        <v>5</v>
      </c>
      <c r="E12" s="1">
        <v>40</v>
      </c>
    </row>
    <row r="13" spans="1:5" x14ac:dyDescent="0.45">
      <c r="A13" s="1" t="s">
        <v>47</v>
      </c>
      <c r="B13" s="1">
        <v>334.62</v>
      </c>
      <c r="C13" s="1">
        <v>41</v>
      </c>
      <c r="D13" s="1">
        <v>4</v>
      </c>
      <c r="E13" s="1">
        <v>75</v>
      </c>
    </row>
    <row r="14" spans="1:5" x14ac:dyDescent="0.45">
      <c r="A14" s="1" t="s">
        <v>48</v>
      </c>
      <c r="B14" s="1">
        <v>78.209999999999994</v>
      </c>
      <c r="C14" s="1">
        <v>10</v>
      </c>
      <c r="D14" s="1">
        <v>1</v>
      </c>
      <c r="E14" s="1">
        <v>0</v>
      </c>
    </row>
    <row r="15" spans="1:5" x14ac:dyDescent="0.45">
      <c r="A15" s="1" t="s">
        <v>49</v>
      </c>
      <c r="B15" s="1">
        <v>183.15</v>
      </c>
      <c r="C15" s="1">
        <v>21</v>
      </c>
      <c r="D15" s="1">
        <v>2</v>
      </c>
      <c r="E15" s="1">
        <v>50</v>
      </c>
    </row>
    <row r="16" spans="1:5" x14ac:dyDescent="0.45">
      <c r="A16" s="1" t="s">
        <v>50</v>
      </c>
      <c r="B16" s="1">
        <v>114.84</v>
      </c>
      <c r="C16" s="1">
        <v>13</v>
      </c>
      <c r="D16" s="1">
        <v>1</v>
      </c>
      <c r="E16" s="1">
        <v>0</v>
      </c>
    </row>
    <row r="17" spans="1:5" x14ac:dyDescent="0.45">
      <c r="A17" s="1" t="s">
        <v>51</v>
      </c>
      <c r="B17" s="1">
        <v>50.49</v>
      </c>
      <c r="C17" s="1">
        <v>9</v>
      </c>
      <c r="D17" s="1">
        <v>1</v>
      </c>
      <c r="E17" s="1">
        <v>0</v>
      </c>
    </row>
    <row r="18" spans="1:5" ht="28.5" x14ac:dyDescent="0.45">
      <c r="A18" s="1" t="s">
        <v>52</v>
      </c>
      <c r="B18" s="1">
        <v>65.34</v>
      </c>
      <c r="C18" s="1">
        <v>10</v>
      </c>
      <c r="D18" s="1">
        <v>1</v>
      </c>
      <c r="E18" s="1">
        <v>100</v>
      </c>
    </row>
    <row r="19" spans="1:5" x14ac:dyDescent="0.45">
      <c r="A19" s="1" t="s">
        <v>53</v>
      </c>
      <c r="B19" s="1">
        <v>72.27</v>
      </c>
      <c r="C19" s="1">
        <v>9</v>
      </c>
      <c r="D19" s="1">
        <v>1</v>
      </c>
      <c r="E19" s="1">
        <v>100</v>
      </c>
    </row>
    <row r="20" spans="1:5" x14ac:dyDescent="0.45">
      <c r="A20" s="1" t="s">
        <v>54</v>
      </c>
      <c r="B20" s="1">
        <v>76.23</v>
      </c>
      <c r="C20" s="1">
        <v>10</v>
      </c>
      <c r="D20" s="1">
        <v>1</v>
      </c>
      <c r="E20" s="1">
        <v>0</v>
      </c>
    </row>
    <row r="21" spans="1:5" x14ac:dyDescent="0.45">
      <c r="A21" s="1" t="s">
        <v>55</v>
      </c>
      <c r="B21" s="1">
        <v>185.13</v>
      </c>
      <c r="C21" s="1">
        <v>29</v>
      </c>
      <c r="D21" s="1">
        <v>2</v>
      </c>
      <c r="E21" s="1">
        <v>0</v>
      </c>
    </row>
    <row r="22" spans="1:5" x14ac:dyDescent="0.45">
      <c r="A22" s="1" t="s">
        <v>56</v>
      </c>
      <c r="B22" s="1">
        <v>98.01</v>
      </c>
      <c r="C22" s="1">
        <v>11</v>
      </c>
      <c r="D22" s="1">
        <v>1</v>
      </c>
      <c r="E22" s="1">
        <v>100</v>
      </c>
    </row>
    <row r="23" spans="1:5" x14ac:dyDescent="0.45">
      <c r="A23" s="1" t="s">
        <v>57</v>
      </c>
      <c r="B23" s="1">
        <v>75.239999999999995</v>
      </c>
      <c r="C23" s="1">
        <v>10</v>
      </c>
      <c r="D23" s="1">
        <v>1</v>
      </c>
      <c r="E23" s="1">
        <v>0</v>
      </c>
    </row>
    <row r="24" spans="1:5" ht="28.5" x14ac:dyDescent="0.45">
      <c r="A24" s="1" t="s">
        <v>58</v>
      </c>
      <c r="B24" s="1">
        <v>245.52</v>
      </c>
      <c r="C24" s="1">
        <v>28</v>
      </c>
      <c r="D24" s="1">
        <v>3</v>
      </c>
      <c r="E24" s="1">
        <v>33.33</v>
      </c>
    </row>
    <row r="25" spans="1:5" x14ac:dyDescent="0.45">
      <c r="A25" s="1" t="s">
        <v>59</v>
      </c>
      <c r="B25" s="1">
        <v>1040.49</v>
      </c>
      <c r="C25" s="1">
        <v>131</v>
      </c>
      <c r="D25" s="1">
        <v>13</v>
      </c>
      <c r="E25" s="1">
        <v>23.08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670B-1131-4C30-8E34-73E380948997}">
  <dimension ref="A1"/>
  <sheetViews>
    <sheetView topLeftCell="G1" workbookViewId="0">
      <selection activeCell="G4" sqref="G4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58A2-2996-4239-B184-588D798F150D}">
  <dimension ref="A1"/>
  <sheetViews>
    <sheetView tabSelected="1" workbookViewId="0">
      <selection activeCell="M8" sqref="M8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Subjective_Q1</vt:lpstr>
      <vt:lpstr>Subjective_Q2</vt:lpstr>
      <vt:lpstr>Subjective_Q3</vt:lpstr>
      <vt:lpstr>Subjective_Q5</vt:lpstr>
      <vt:lpstr>Subjective_Q6</vt:lpstr>
      <vt:lpstr>Subjective_Q7</vt:lpstr>
      <vt:lpstr>PPT_G1</vt:lpstr>
      <vt:lpstr>PPT_G2</vt:lpstr>
      <vt:lpstr>PPT_G3</vt:lpstr>
      <vt:lpstr>PPT_G4</vt:lpstr>
      <vt:lpstr>PPT_G5</vt:lpstr>
      <vt:lpstr>PPT_G6</vt:lpstr>
      <vt:lpstr>PPT_G7</vt:lpstr>
      <vt:lpstr>PPT_G8</vt:lpstr>
      <vt:lpstr>PPT_G9</vt:lpstr>
      <vt:lpstr>PPT_G10</vt:lpstr>
      <vt:lpstr>PPY_G11</vt:lpstr>
      <vt:lpstr>PPT_G12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YOGENDAR BHUPATHI</dc:creator>
  <cp:lastModifiedBy>YOGENDAR BHUPATHI</cp:lastModifiedBy>
  <dcterms:created xsi:type="dcterms:W3CDTF">2015-06-05T18:17:20Z</dcterms:created>
  <dcterms:modified xsi:type="dcterms:W3CDTF">2026-01-05T14:11:18Z</dcterms:modified>
</cp:coreProperties>
</file>